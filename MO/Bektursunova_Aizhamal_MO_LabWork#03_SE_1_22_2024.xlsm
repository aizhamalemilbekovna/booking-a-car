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3.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omments5.xml" ContentType="application/vnd.openxmlformats-officedocument.spreadsheetml.comments+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025"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user\Desktop\MO\"/>
    </mc:Choice>
  </mc:AlternateContent>
  <xr:revisionPtr revIDLastSave="0" documentId="13_ncr:1_{509AA9F9-5F67-42EE-A81C-137D1263BCB0}" xr6:coauthVersionLast="47" xr6:coauthVersionMax="47" xr10:uidLastSave="{00000000-0000-0000-0000-000000000000}"/>
  <bookViews>
    <workbookView xWindow="-120" yWindow="-120" windowWidth="20730" windowHeight="11160" tabRatio="601" activeTab="4" xr2:uid="{00000000-000D-0000-FFFF-FFFF00000000}"/>
  </bookViews>
  <sheets>
    <sheet name="sheet1" sheetId="1" r:id="rId1"/>
    <sheet name="sheet2" sheetId="2" r:id="rId2"/>
    <sheet name="sheet3" sheetId="3" r:id="rId3"/>
    <sheet name="sheet4" sheetId="4" r:id="rId4"/>
    <sheet name="Sheet5" sheetId="5" r:id="rId5"/>
  </sheets>
  <definedNames>
    <definedName name="_xlnm._FilterDatabase" localSheetId="3" hidden="1">sheet4!$A$11:$J$67</definedName>
    <definedName name="_xlnm._FilterDatabase" localSheetId="4" hidden="1">Sheet5!$A$11:$J$31</definedName>
  </definedNames>
  <calcPr calcId="191029" iterate="1" iterateCount="32767"/>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66" i="5" l="1"/>
  <c r="I65" i="5"/>
  <c r="I64" i="5"/>
  <c r="I63" i="5"/>
  <c r="I62" i="5"/>
  <c r="I61" i="5"/>
  <c r="I60" i="5"/>
  <c r="I59" i="5"/>
  <c r="I58" i="5"/>
  <c r="I57" i="5"/>
  <c r="I56" i="5"/>
  <c r="I55" i="5"/>
  <c r="I54" i="5"/>
  <c r="I53" i="5"/>
  <c r="I52" i="5"/>
  <c r="I51" i="5"/>
  <c r="I50" i="5"/>
  <c r="I49" i="5"/>
  <c r="I48" i="5"/>
  <c r="I47" i="5"/>
  <c r="I46" i="5"/>
  <c r="I45" i="5"/>
  <c r="I44" i="5"/>
  <c r="I43" i="5"/>
  <c r="I42" i="5"/>
  <c r="I41" i="5"/>
  <c r="I40" i="5"/>
  <c r="I39" i="5"/>
  <c r="I38" i="5"/>
  <c r="I37" i="5"/>
  <c r="I36" i="5"/>
  <c r="I35" i="5"/>
  <c r="I34" i="5"/>
  <c r="I33" i="5"/>
  <c r="I32" i="5"/>
  <c r="I31" i="5"/>
  <c r="I30" i="5"/>
  <c r="I29" i="5"/>
  <c r="I28" i="5"/>
  <c r="I27" i="5"/>
  <c r="I26" i="5"/>
  <c r="I25" i="5"/>
  <c r="I24" i="5"/>
  <c r="I23" i="5"/>
  <c r="J22" i="5"/>
  <c r="I22" i="5"/>
  <c r="J21" i="5"/>
  <c r="I21" i="5"/>
  <c r="J20" i="5"/>
  <c r="I20" i="5"/>
  <c r="J19" i="5"/>
  <c r="I19" i="5"/>
  <c r="J18" i="5"/>
  <c r="I18" i="5"/>
  <c r="J17" i="5"/>
  <c r="I17" i="5"/>
  <c r="J16" i="5"/>
  <c r="I16" i="5"/>
  <c r="J15" i="5"/>
  <c r="I15" i="5"/>
  <c r="J14" i="5"/>
  <c r="I14" i="5"/>
  <c r="J13" i="5"/>
  <c r="I13" i="5"/>
  <c r="J12" i="5"/>
  <c r="I12" i="5"/>
  <c r="I57" i="4"/>
  <c r="H67" i="4"/>
  <c r="I12" i="4"/>
  <c r="K67" i="1" l="1"/>
  <c r="J67" i="1" s="1"/>
  <c r="I67" i="1"/>
  <c r="K66" i="1"/>
  <c r="J66" i="1" s="1"/>
  <c r="I66" i="1"/>
  <c r="K65" i="1"/>
  <c r="J65" i="1"/>
  <c r="I65" i="1"/>
  <c r="K64" i="1"/>
  <c r="J64" i="1" s="1"/>
  <c r="I64" i="1"/>
  <c r="K63" i="1"/>
  <c r="J63" i="1" s="1"/>
  <c r="I63" i="1"/>
  <c r="K62" i="1"/>
  <c r="J62" i="1" s="1"/>
  <c r="I62" i="1"/>
  <c r="K61" i="1"/>
  <c r="J61" i="1" s="1"/>
  <c r="I61" i="1"/>
  <c r="K60" i="1"/>
  <c r="J60" i="1" s="1"/>
  <c r="I60" i="1"/>
  <c r="K59" i="1"/>
  <c r="J59" i="1" s="1"/>
  <c r="I59" i="1"/>
  <c r="K58" i="1"/>
  <c r="J58" i="1" s="1"/>
  <c r="I58" i="1"/>
  <c r="K57" i="1"/>
  <c r="J57" i="1" s="1"/>
  <c r="I57" i="1"/>
  <c r="K56" i="1"/>
  <c r="J56" i="1" s="1"/>
  <c r="I56" i="1"/>
  <c r="K55" i="1"/>
  <c r="J55" i="1"/>
  <c r="I55" i="1"/>
  <c r="K54" i="1"/>
  <c r="J54" i="1" s="1"/>
  <c r="I54" i="1"/>
  <c r="K53" i="1"/>
  <c r="J53" i="1" s="1"/>
  <c r="I53" i="1"/>
  <c r="K52" i="1"/>
  <c r="J52" i="1" s="1"/>
  <c r="I52" i="1"/>
  <c r="K51" i="1"/>
  <c r="J51" i="1" s="1"/>
  <c r="I51" i="1"/>
  <c r="K50" i="1"/>
  <c r="J50" i="1" s="1"/>
  <c r="I50" i="1"/>
  <c r="K49" i="1"/>
  <c r="J49" i="1"/>
  <c r="I49" i="1"/>
  <c r="K48" i="1"/>
  <c r="J48" i="1" s="1"/>
  <c r="I48" i="1"/>
  <c r="K47" i="1"/>
  <c r="J47" i="1" s="1"/>
  <c r="I47" i="1"/>
  <c r="K46" i="1"/>
  <c r="J46" i="1" s="1"/>
  <c r="I46" i="1"/>
  <c r="K45" i="1"/>
  <c r="J45" i="1"/>
  <c r="I45" i="1"/>
  <c r="K44" i="1"/>
  <c r="J44" i="1" s="1"/>
  <c r="I44" i="1"/>
  <c r="K43" i="1"/>
  <c r="J43" i="1" s="1"/>
  <c r="I43" i="1"/>
  <c r="K42" i="1"/>
  <c r="J42" i="1" s="1"/>
  <c r="I42" i="1"/>
  <c r="K41" i="1"/>
  <c r="J41" i="1" s="1"/>
  <c r="I41" i="1"/>
  <c r="K40" i="1"/>
  <c r="J40" i="1" s="1"/>
  <c r="I40" i="1"/>
  <c r="K39" i="1"/>
  <c r="J39" i="1"/>
  <c r="I39" i="1"/>
  <c r="K38" i="1"/>
  <c r="J38" i="1" s="1"/>
  <c r="I38" i="1"/>
  <c r="K37" i="1"/>
  <c r="J37" i="1" s="1"/>
  <c r="I37" i="1"/>
  <c r="K36" i="1"/>
  <c r="J36" i="1" s="1"/>
  <c r="I36" i="1"/>
  <c r="K35" i="1"/>
  <c r="J35" i="1" s="1"/>
  <c r="I35" i="1"/>
  <c r="K34" i="1"/>
  <c r="J34" i="1" s="1"/>
  <c r="I34" i="1"/>
  <c r="K33" i="1"/>
  <c r="J33" i="1"/>
  <c r="I33" i="1"/>
  <c r="K32" i="1"/>
  <c r="J32" i="1" s="1"/>
  <c r="I32" i="1"/>
  <c r="K31" i="1"/>
  <c r="J31" i="1" s="1"/>
  <c r="I31" i="1"/>
  <c r="K30" i="1"/>
  <c r="J30" i="1" s="1"/>
  <c r="I30" i="1"/>
  <c r="K29" i="1"/>
  <c r="J29" i="1"/>
  <c r="I29" i="1"/>
  <c r="K28" i="1"/>
  <c r="J28" i="1" s="1"/>
  <c r="I28" i="1"/>
  <c r="K27" i="1"/>
  <c r="J27" i="1" s="1"/>
  <c r="I27" i="1"/>
  <c r="K26" i="1"/>
  <c r="J26" i="1" s="1"/>
  <c r="I26" i="1"/>
  <c r="K25" i="1"/>
  <c r="J25" i="1" s="1"/>
  <c r="I25" i="1"/>
  <c r="K24" i="1"/>
  <c r="J24" i="1" s="1"/>
  <c r="I24" i="1"/>
  <c r="K23" i="1"/>
  <c r="J23" i="1"/>
  <c r="I23" i="1"/>
  <c r="K22" i="1"/>
  <c r="J22" i="1" s="1"/>
  <c r="I22" i="1"/>
  <c r="K21" i="1"/>
  <c r="J21" i="1" s="1"/>
  <c r="I21" i="1"/>
  <c r="K20" i="1"/>
  <c r="J20" i="1" s="1"/>
  <c r="I20" i="1"/>
  <c r="K19" i="1"/>
  <c r="J19" i="1" s="1"/>
  <c r="I19" i="1"/>
  <c r="K18" i="1"/>
  <c r="J18" i="1" s="1"/>
  <c r="I18" i="1"/>
  <c r="K17" i="1"/>
  <c r="J17" i="1"/>
  <c r="I17" i="1"/>
  <c r="K16" i="1"/>
  <c r="J16" i="1" s="1"/>
  <c r="I16" i="1"/>
  <c r="K15" i="1"/>
  <c r="J15" i="1" s="1"/>
  <c r="I15" i="1"/>
  <c r="K14" i="1"/>
  <c r="J14" i="1" s="1"/>
  <c r="I14" i="1"/>
  <c r="K13" i="1"/>
  <c r="J13" i="1"/>
  <c r="I13" i="1"/>
  <c r="K12" i="1"/>
  <c r="J12" i="1" s="1"/>
  <c r="I12" i="1"/>
  <c r="K11" i="1"/>
  <c r="J11" i="1" s="1"/>
  <c r="I11" i="1"/>
  <c r="K10" i="1"/>
  <c r="J10" i="1" s="1"/>
  <c r="I10" i="1"/>
  <c r="K9" i="1"/>
  <c r="J9" i="1" s="1"/>
  <c r="I9" i="1"/>
  <c r="K8" i="1"/>
  <c r="J8" i="1" s="1"/>
  <c r="I8" i="1"/>
  <c r="K7" i="1"/>
  <c r="J7" i="1"/>
  <c r="I7" i="1"/>
  <c r="K6" i="1"/>
  <c r="J6" i="1" s="1"/>
  <c r="I6" i="1"/>
  <c r="K5" i="1"/>
  <c r="J5" i="1" s="1"/>
  <c r="I5" i="1"/>
  <c r="K4" i="1"/>
  <c r="J4" i="1" s="1"/>
  <c r="I4" i="1"/>
  <c r="F7" i="3" l="1"/>
  <c r="E7" i="3"/>
  <c r="I66" i="4" l="1"/>
  <c r="I65" i="4"/>
  <c r="I64" i="4"/>
  <c r="I63" i="4"/>
  <c r="I62" i="4"/>
  <c r="I61" i="4"/>
  <c r="I60" i="4"/>
  <c r="I59" i="4"/>
  <c r="I58" i="4"/>
  <c r="I56" i="4"/>
  <c r="I55" i="4"/>
  <c r="I54" i="4"/>
  <c r="I53" i="4"/>
  <c r="I52" i="4"/>
  <c r="I51" i="4"/>
  <c r="I50" i="4"/>
  <c r="I49" i="4"/>
  <c r="I48" i="4"/>
  <c r="I47" i="4"/>
  <c r="I46" i="4"/>
  <c r="I45" i="4"/>
  <c r="I44" i="4"/>
  <c r="I43" i="4"/>
  <c r="I42" i="4"/>
  <c r="I41" i="4"/>
  <c r="I40" i="4"/>
  <c r="I39" i="4"/>
  <c r="I38" i="4"/>
  <c r="I37" i="4"/>
  <c r="I36" i="4"/>
  <c r="I35" i="4"/>
  <c r="I34" i="4"/>
  <c r="I33" i="4"/>
  <c r="I32" i="4"/>
  <c r="I31" i="4"/>
  <c r="I30" i="4"/>
  <c r="I29" i="4"/>
  <c r="I28" i="4"/>
  <c r="I27" i="4"/>
  <c r="I26" i="4"/>
  <c r="I25" i="4"/>
  <c r="I24" i="4"/>
  <c r="I23" i="4"/>
  <c r="J22" i="4"/>
  <c r="I22" i="4"/>
  <c r="J21" i="4"/>
  <c r="I21" i="4"/>
  <c r="J20" i="4"/>
  <c r="I20" i="4"/>
  <c r="J19" i="4"/>
  <c r="I19" i="4"/>
  <c r="J18" i="4"/>
  <c r="I18" i="4"/>
  <c r="J17" i="4"/>
  <c r="I17" i="4"/>
  <c r="J16" i="4"/>
  <c r="I16" i="4"/>
  <c r="J15" i="4"/>
  <c r="I15" i="4"/>
  <c r="J14" i="4"/>
  <c r="I14" i="4"/>
  <c r="J13" i="4"/>
  <c r="I13" i="4"/>
  <c r="J12" i="4"/>
  <c r="I5" i="4" l="1"/>
  <c r="J6" i="2"/>
  <c r="K6" i="2" s="1"/>
  <c r="K5" i="2"/>
  <c r="G5" i="2"/>
  <c r="D27" i="2" s="1"/>
  <c r="D12" i="2"/>
  <c r="D19" i="2"/>
  <c r="D29" i="2"/>
  <c r="C5" i="2"/>
  <c r="E5" i="2"/>
  <c r="D31" i="2"/>
  <c r="D8" i="2"/>
  <c r="D43" i="2"/>
  <c r="D26" i="2"/>
  <c r="J7" i="2" l="1"/>
  <c r="J8" i="2" s="1"/>
  <c r="D41" i="2"/>
  <c r="D33" i="2"/>
  <c r="D9" i="2"/>
  <c r="D30" i="2"/>
  <c r="D23" i="2"/>
  <c r="D17" i="2"/>
  <c r="D42" i="2"/>
  <c r="D7" i="2"/>
  <c r="D14" i="2"/>
  <c r="D39" i="2"/>
  <c r="D36" i="2"/>
  <c r="D20" i="2"/>
  <c r="D35" i="2"/>
  <c r="D16" i="2"/>
  <c r="D45" i="2"/>
  <c r="D38" i="2"/>
  <c r="D40" i="2"/>
  <c r="D21" i="2"/>
  <c r="D22" i="2"/>
  <c r="D24" i="2"/>
  <c r="D10" i="2"/>
  <c r="D44" i="2"/>
  <c r="D6" i="2"/>
  <c r="D25" i="2"/>
  <c r="D11" i="2"/>
  <c r="D32" i="2"/>
  <c r="D18" i="2"/>
  <c r="D5" i="2"/>
  <c r="B6" i="2" s="1"/>
  <c r="D13" i="2"/>
  <c r="D28" i="2"/>
  <c r="D15" i="2"/>
  <c r="D37" i="2"/>
  <c r="D34" i="2"/>
  <c r="K7" i="2" l="1"/>
  <c r="J9" i="2"/>
  <c r="K8" i="2"/>
  <c r="C6" i="2"/>
  <c r="B7" i="2" s="1"/>
  <c r="E6" i="2"/>
  <c r="C7" i="2" l="1"/>
  <c r="B8" i="2" s="1"/>
  <c r="E7" i="2"/>
  <c r="K9" i="2"/>
  <c r="J10" i="2"/>
  <c r="C8" i="2" l="1"/>
  <c r="B9" i="2" s="1"/>
  <c r="E8" i="2"/>
  <c r="J11" i="2"/>
  <c r="K10" i="2"/>
  <c r="J12" i="2" l="1"/>
  <c r="K11" i="2"/>
  <c r="C9" i="2"/>
  <c r="B10" i="2" s="1"/>
  <c r="E9" i="2"/>
  <c r="C10" i="2" l="1"/>
  <c r="B11" i="2" s="1"/>
  <c r="E10" i="2"/>
  <c r="J13" i="2"/>
  <c r="K12" i="2"/>
  <c r="C11" i="2" l="1"/>
  <c r="B12" i="2" s="1"/>
  <c r="E11" i="2"/>
  <c r="J14" i="2"/>
  <c r="K13" i="2"/>
  <c r="J15" i="2" l="1"/>
  <c r="K14" i="2"/>
  <c r="C12" i="2"/>
  <c r="B13" i="2" s="1"/>
  <c r="E12" i="2"/>
  <c r="C13" i="2" l="1"/>
  <c r="B14" i="2" s="1"/>
  <c r="E13" i="2"/>
  <c r="J16" i="2"/>
  <c r="K15" i="2"/>
  <c r="K16" i="2" l="1"/>
  <c r="J17" i="2"/>
  <c r="E14" i="2"/>
  <c r="C14" i="2"/>
  <c r="B15" i="2" s="1"/>
  <c r="E15" i="2" l="1"/>
  <c r="C15" i="2"/>
  <c r="B16" i="2" s="1"/>
  <c r="K17" i="2"/>
  <c r="J18" i="2"/>
  <c r="K18" i="2" l="1"/>
  <c r="J19" i="2"/>
  <c r="E16" i="2"/>
  <c r="C16" i="2"/>
  <c r="B17" i="2" s="1"/>
  <c r="E17" i="2" l="1"/>
  <c r="C17" i="2"/>
  <c r="B18" i="2" s="1"/>
  <c r="K19" i="2"/>
  <c r="J20" i="2"/>
  <c r="J21" i="2" l="1"/>
  <c r="K20" i="2"/>
  <c r="C18" i="2"/>
  <c r="B19" i="2" s="1"/>
  <c r="E18" i="2"/>
  <c r="E19" i="2" l="1"/>
  <c r="C19" i="2"/>
  <c r="B20" i="2" s="1"/>
  <c r="J22" i="2"/>
  <c r="K21" i="2"/>
  <c r="K22" i="2" l="1"/>
  <c r="J23" i="2"/>
  <c r="E20" i="2"/>
  <c r="C20" i="2"/>
  <c r="B21" i="2" s="1"/>
  <c r="C21" i="2" l="1"/>
  <c r="B22" i="2" s="1"/>
  <c r="E21" i="2"/>
  <c r="K23" i="2"/>
  <c r="J24" i="2"/>
  <c r="K24" i="2" l="1"/>
  <c r="J25" i="2"/>
  <c r="E22" i="2"/>
  <c r="C22" i="2"/>
  <c r="B23" i="2" s="1"/>
  <c r="E23" i="2" l="1"/>
  <c r="C23" i="2"/>
  <c r="B24" i="2" s="1"/>
  <c r="K25" i="2"/>
  <c r="J26" i="2"/>
  <c r="J27" i="2" l="1"/>
  <c r="K26" i="2"/>
  <c r="C24" i="2"/>
  <c r="B25" i="2" s="1"/>
  <c r="E24" i="2"/>
  <c r="C25" i="2" l="1"/>
  <c r="B26" i="2" s="1"/>
  <c r="E25" i="2"/>
  <c r="J28" i="2"/>
  <c r="K27" i="2"/>
  <c r="J29" i="2" l="1"/>
  <c r="K28" i="2"/>
  <c r="C26" i="2"/>
  <c r="B27" i="2" s="1"/>
  <c r="E26" i="2"/>
  <c r="E27" i="2" l="1"/>
  <c r="C27" i="2"/>
  <c r="B28" i="2" s="1"/>
  <c r="J30" i="2"/>
  <c r="K29" i="2"/>
  <c r="K30" i="2" l="1"/>
  <c r="J31" i="2"/>
  <c r="E28" i="2"/>
  <c r="C28" i="2"/>
  <c r="B29" i="2" s="1"/>
  <c r="C29" i="2" l="1"/>
  <c r="B30" i="2" s="1"/>
  <c r="E29" i="2"/>
  <c r="K31" i="2"/>
  <c r="J32" i="2"/>
  <c r="K32" i="2" l="1"/>
  <c r="J33" i="2"/>
  <c r="E30" i="2"/>
  <c r="C30" i="2"/>
  <c r="B31" i="2" s="1"/>
  <c r="E31" i="2" l="1"/>
  <c r="C31" i="2"/>
  <c r="B32" i="2" s="1"/>
  <c r="K33" i="2"/>
  <c r="J34" i="2"/>
  <c r="J35" i="2" l="1"/>
  <c r="K34" i="2"/>
  <c r="C32" i="2"/>
  <c r="B33" i="2" s="1"/>
  <c r="E32" i="2"/>
  <c r="C33" i="2" l="1"/>
  <c r="B34" i="2" s="1"/>
  <c r="E33" i="2"/>
  <c r="J36" i="2"/>
  <c r="K35" i="2"/>
  <c r="J37" i="2" l="1"/>
  <c r="K36" i="2"/>
  <c r="E34" i="2"/>
  <c r="C34" i="2"/>
  <c r="B35" i="2" s="1"/>
  <c r="E35" i="2" l="1"/>
  <c r="C35" i="2"/>
  <c r="B36" i="2" s="1"/>
  <c r="J38" i="2"/>
  <c r="K37" i="2"/>
  <c r="K38" i="2" l="1"/>
  <c r="J39" i="2"/>
  <c r="E36" i="2"/>
  <c r="C36" i="2"/>
  <c r="B37" i="2" s="1"/>
  <c r="C37" i="2" l="1"/>
  <c r="B38" i="2" s="1"/>
  <c r="E37" i="2"/>
  <c r="K39" i="2"/>
  <c r="J40" i="2"/>
  <c r="K40" i="2" l="1"/>
  <c r="J41" i="2"/>
  <c r="C38" i="2"/>
  <c r="B39" i="2" s="1"/>
  <c r="E38" i="2"/>
  <c r="C39" i="2" l="1"/>
  <c r="B40" i="2" s="1"/>
  <c r="E39" i="2"/>
  <c r="K41" i="2"/>
  <c r="J42" i="2"/>
  <c r="J43" i="2" l="1"/>
  <c r="K42" i="2"/>
  <c r="E40" i="2"/>
  <c r="C40" i="2"/>
  <c r="B41" i="2" s="1"/>
  <c r="C41" i="2" l="1"/>
  <c r="B42" i="2" s="1"/>
  <c r="E41" i="2"/>
  <c r="J44" i="2"/>
  <c r="K43" i="2"/>
  <c r="J45" i="2" l="1"/>
  <c r="K44" i="2"/>
  <c r="C42" i="2"/>
  <c r="B43" i="2" s="1"/>
  <c r="E42" i="2"/>
  <c r="E43" i="2" l="1"/>
  <c r="C43" i="2"/>
  <c r="B44" i="2" s="1"/>
  <c r="J46" i="2"/>
  <c r="K45" i="2"/>
  <c r="K46" i="2" l="1"/>
  <c r="J47" i="2"/>
  <c r="E44" i="2"/>
  <c r="C44" i="2"/>
  <c r="B45" i="2" s="1"/>
  <c r="C45" i="2" l="1"/>
  <c r="E45" i="2"/>
  <c r="J48" i="2"/>
  <c r="K47" i="2"/>
  <c r="K48" i="2" l="1"/>
  <c r="J49" i="2"/>
  <c r="J50" i="2" l="1"/>
  <c r="K49" i="2"/>
  <c r="K50" i="2" l="1"/>
  <c r="J51" i="2"/>
  <c r="K51" i="2" l="1"/>
  <c r="J52" i="2"/>
  <c r="J53" i="2" l="1"/>
  <c r="K52" i="2"/>
  <c r="J54" i="2" l="1"/>
  <c r="K53" i="2"/>
  <c r="J55" i="2" l="1"/>
  <c r="K54" i="2"/>
  <c r="J56" i="2" l="1"/>
  <c r="K55" i="2"/>
  <c r="K56" i="2" l="1"/>
  <c r="J57" i="2"/>
  <c r="K57" i="2" l="1"/>
  <c r="J58" i="2"/>
  <c r="K58" i="2" l="1"/>
  <c r="J59" i="2"/>
  <c r="K59" i="2" l="1"/>
  <c r="J60" i="2"/>
  <c r="J61" i="2" l="1"/>
  <c r="K60" i="2"/>
  <c r="J62" i="2" l="1"/>
  <c r="K61" i="2"/>
  <c r="J63" i="2" l="1"/>
  <c r="K62" i="2"/>
  <c r="J64" i="2" l="1"/>
  <c r="K63" i="2"/>
  <c r="K64" i="2" l="1"/>
  <c r="J65" i="2"/>
  <c r="J66" i="2" l="1"/>
  <c r="K65" i="2"/>
  <c r="K66" i="2" l="1"/>
  <c r="J67" i="2"/>
  <c r="K67" i="2" l="1"/>
  <c r="J68" i="2"/>
  <c r="J69" i="2" l="1"/>
  <c r="K68" i="2"/>
  <c r="J70" i="2" l="1"/>
  <c r="K69" i="2"/>
  <c r="J71" i="2" l="1"/>
  <c r="K70" i="2"/>
  <c r="J72" i="2" l="1"/>
  <c r="K71" i="2"/>
  <c r="K72" i="2" l="1"/>
  <c r="J73" i="2"/>
  <c r="J74" i="2" l="1"/>
  <c r="K73" i="2"/>
  <c r="K74" i="2" l="1"/>
  <c r="J75" i="2"/>
  <c r="K75" i="2" l="1"/>
  <c r="J76" i="2"/>
  <c r="J77" i="2" l="1"/>
  <c r="K76" i="2"/>
  <c r="J78" i="2" l="1"/>
  <c r="K77" i="2"/>
  <c r="J79" i="2" l="1"/>
  <c r="K78" i="2"/>
  <c r="J80" i="2" l="1"/>
  <c r="K79" i="2"/>
  <c r="K80" i="2" l="1"/>
  <c r="J81" i="2"/>
  <c r="J82" i="2" l="1"/>
  <c r="K81" i="2"/>
  <c r="K82" i="2" l="1"/>
  <c r="J83" i="2"/>
  <c r="K83" i="2" l="1"/>
  <c r="J84" i="2"/>
  <c r="J85" i="2" l="1"/>
  <c r="K84" i="2"/>
  <c r="J86" i="2" l="1"/>
  <c r="K85" i="2"/>
  <c r="J87" i="2" l="1"/>
  <c r="K86" i="2"/>
  <c r="J88" i="2" l="1"/>
  <c r="K87" i="2"/>
  <c r="K88" i="2" l="1"/>
  <c r="J89" i="2"/>
  <c r="K89" i="2" l="1"/>
  <c r="J90" i="2"/>
  <c r="K90" i="2" l="1"/>
  <c r="J91" i="2"/>
  <c r="K91" i="2" l="1"/>
  <c r="J92" i="2"/>
  <c r="J93" i="2" l="1"/>
  <c r="K92" i="2"/>
  <c r="J94" i="2" l="1"/>
  <c r="K93" i="2"/>
  <c r="J95" i="2" l="1"/>
  <c r="K94" i="2"/>
  <c r="J96" i="2" l="1"/>
  <c r="K95" i="2"/>
  <c r="K96" i="2" l="1"/>
  <c r="J97" i="2"/>
  <c r="J98" i="2" l="1"/>
  <c r="K97" i="2"/>
  <c r="K98" i="2" l="1"/>
  <c r="J99" i="2"/>
  <c r="K99" i="2" l="1"/>
  <c r="J100" i="2"/>
  <c r="J101" i="2" l="1"/>
  <c r="K100" i="2"/>
  <c r="J102" i="2" l="1"/>
  <c r="K101" i="2"/>
  <c r="J103" i="2" l="1"/>
  <c r="K102" i="2"/>
  <c r="J104" i="2" l="1"/>
  <c r="K104" i="2" s="1"/>
  <c r="K103" i="2"/>
  <c r="M5" i="2" l="1"/>
  <c r="L6" i="2" l="1"/>
  <c r="L5" i="2"/>
  <c r="L7" i="2"/>
  <c r="L8" i="2"/>
  <c r="L9" i="2"/>
  <c r="L10" i="2"/>
  <c r="L11" i="2"/>
  <c r="L12" i="2"/>
  <c r="L13" i="2"/>
  <c r="L14" i="2"/>
  <c r="L15" i="2"/>
  <c r="L16" i="2"/>
  <c r="L17" i="2"/>
  <c r="L18" i="2"/>
  <c r="L19" i="2"/>
  <c r="L20" i="2"/>
  <c r="L21" i="2"/>
  <c r="L22" i="2"/>
  <c r="L23" i="2"/>
  <c r="L24" i="2"/>
  <c r="L25" i="2"/>
  <c r="L26" i="2"/>
  <c r="L27" i="2"/>
  <c r="L28" i="2"/>
  <c r="L29" i="2"/>
  <c r="L30" i="2"/>
  <c r="L31" i="2"/>
  <c r="L32" i="2"/>
  <c r="L33" i="2"/>
  <c r="L34" i="2"/>
  <c r="L35" i="2"/>
  <c r="L36" i="2"/>
  <c r="L37" i="2"/>
  <c r="L38" i="2"/>
  <c r="L39" i="2"/>
  <c r="L40" i="2"/>
  <c r="L41" i="2"/>
  <c r="L42" i="2"/>
  <c r="L43" i="2"/>
  <c r="L44" i="2"/>
  <c r="L45" i="2"/>
  <c r="L46" i="2"/>
  <c r="L47" i="2"/>
  <c r="L48" i="2"/>
  <c r="L49" i="2"/>
  <c r="L50" i="2"/>
  <c r="L51" i="2"/>
  <c r="L52" i="2"/>
  <c r="L53" i="2"/>
  <c r="L54" i="2"/>
  <c r="L55" i="2"/>
  <c r="L56" i="2"/>
  <c r="L57" i="2"/>
  <c r="L58" i="2"/>
  <c r="L59" i="2"/>
  <c r="L60" i="2"/>
  <c r="L61" i="2"/>
  <c r="L62" i="2"/>
  <c r="L63" i="2"/>
  <c r="L64" i="2"/>
  <c r="L65" i="2"/>
  <c r="L66" i="2"/>
  <c r="L67" i="2"/>
  <c r="L68" i="2"/>
  <c r="L69" i="2"/>
  <c r="L70" i="2"/>
  <c r="L71" i="2"/>
  <c r="L72" i="2"/>
  <c r="L73" i="2"/>
  <c r="L74" i="2"/>
  <c r="L75" i="2"/>
  <c r="L76" i="2"/>
  <c r="L77" i="2"/>
  <c r="L78" i="2"/>
  <c r="L79" i="2"/>
  <c r="L80" i="2"/>
  <c r="L81" i="2"/>
  <c r="L82" i="2"/>
  <c r="L83" i="2"/>
  <c r="L84" i="2"/>
  <c r="L85" i="2"/>
  <c r="L86" i="2"/>
  <c r="L87" i="2"/>
  <c r="L88" i="2"/>
  <c r="L89" i="2"/>
  <c r="L90" i="2"/>
  <c r="L91" i="2"/>
  <c r="L92" i="2"/>
  <c r="L93" i="2"/>
  <c r="L94" i="2"/>
  <c r="L95" i="2"/>
  <c r="L96" i="2"/>
  <c r="L97" i="2"/>
  <c r="L98" i="2"/>
  <c r="L99" i="2"/>
  <c r="L100" i="2"/>
  <c r="L101" i="2"/>
  <c r="L102" i="2"/>
  <c r="L104" i="2"/>
  <c r="L103" i="2"/>
  <c r="L1" i="3"/>
  <c r="O1" i="3"/>
  <c r="B7" i="3"/>
  <c r="C7" i="3"/>
  <c r="G7" i="3"/>
  <c r="I7" i="3"/>
  <c r="J7" i="3"/>
  <c r="K7" i="3"/>
  <c r="B8" i="3"/>
  <c r="C8" i="3"/>
  <c r="D8" i="3"/>
  <c r="I8" i="3"/>
  <c r="K8" i="3"/>
  <c r="B9" i="3"/>
  <c r="C9" i="3"/>
  <c r="D9" i="3"/>
  <c r="I9" i="3"/>
  <c r="K9" i="3"/>
  <c r="B10" i="3"/>
  <c r="C10" i="3"/>
  <c r="D10" i="3"/>
  <c r="I10" i="3"/>
  <c r="K10" i="3"/>
  <c r="B11" i="3"/>
  <c r="C11" i="3"/>
  <c r="D11" i="3"/>
  <c r="I11" i="3"/>
  <c r="K11" i="3"/>
  <c r="B12" i="3"/>
  <c r="C12" i="3"/>
  <c r="D12" i="3"/>
  <c r="I12" i="3"/>
  <c r="K12" i="3"/>
  <c r="B13" i="3"/>
  <c r="C13" i="3"/>
  <c r="D13" i="3"/>
  <c r="I13" i="3"/>
  <c r="K13" i="3"/>
  <c r="B14" i="3"/>
  <c r="C14" i="3"/>
  <c r="D14" i="3"/>
  <c r="I14" i="3"/>
  <c r="K14" i="3"/>
  <c r="B15" i="3"/>
  <c r="C15" i="3"/>
  <c r="D15" i="3"/>
  <c r="I15" i="3"/>
  <c r="K15" i="3"/>
  <c r="B16" i="3"/>
  <c r="C16" i="3"/>
  <c r="D16" i="3"/>
  <c r="I16" i="3"/>
  <c r="K16" i="3"/>
  <c r="B17" i="3"/>
  <c r="C17" i="3"/>
  <c r="D17" i="3"/>
  <c r="I17" i="3"/>
  <c r="K17" i="3"/>
  <c r="B18" i="3"/>
  <c r="C18" i="3"/>
  <c r="D18" i="3"/>
  <c r="I18" i="3"/>
  <c r="K18" i="3"/>
  <c r="B19" i="3"/>
  <c r="C19" i="3"/>
  <c r="D19" i="3"/>
  <c r="I19" i="3"/>
  <c r="K19" i="3"/>
  <c r="B20" i="3"/>
  <c r="C20" i="3"/>
  <c r="D20" i="3"/>
  <c r="I20" i="3"/>
  <c r="K20" i="3"/>
  <c r="B21" i="3"/>
  <c r="C21" i="3"/>
  <c r="D21" i="3"/>
  <c r="I21" i="3"/>
  <c r="K21" i="3"/>
  <c r="B22" i="3"/>
  <c r="C22" i="3"/>
  <c r="D22" i="3"/>
  <c r="I22" i="3"/>
  <c r="K22" i="3"/>
  <c r="B23" i="3"/>
  <c r="C23" i="3"/>
  <c r="D23" i="3"/>
  <c r="I23" i="3"/>
  <c r="K23" i="3"/>
  <c r="B24" i="3"/>
  <c r="C24" i="3"/>
  <c r="D24" i="3"/>
  <c r="I24" i="3"/>
  <c r="K24" i="3"/>
  <c r="B25" i="3"/>
  <c r="C25" i="3"/>
  <c r="D25" i="3"/>
  <c r="I25" i="3"/>
  <c r="K25" i="3"/>
  <c r="B26" i="3"/>
  <c r="C26" i="3"/>
  <c r="D26" i="3"/>
  <c r="I26" i="3"/>
  <c r="K26" i="3"/>
  <c r="B27" i="3"/>
  <c r="C27" i="3"/>
  <c r="D27" i="3"/>
  <c r="I27" i="3"/>
  <c r="K27" i="3"/>
  <c r="B28" i="3"/>
  <c r="C28" i="3"/>
  <c r="D28" i="3"/>
  <c r="B29" i="3"/>
  <c r="C29" i="3"/>
  <c r="D29" i="3"/>
  <c r="B30" i="3"/>
  <c r="C30" i="3"/>
  <c r="D30" i="3"/>
  <c r="B31" i="3"/>
  <c r="C31" i="3"/>
  <c r="D31" i="3"/>
  <c r="B32" i="3"/>
  <c r="C32" i="3"/>
  <c r="D32" i="3"/>
  <c r="B33" i="3"/>
  <c r="C33" i="3"/>
  <c r="D33" i="3"/>
  <c r="B34" i="3"/>
  <c r="C34" i="3"/>
  <c r="D34" i="3"/>
  <c r="B35" i="3"/>
  <c r="C35" i="3"/>
  <c r="D35" i="3"/>
  <c r="B36" i="3"/>
  <c r="C36" i="3"/>
  <c r="D36" i="3"/>
  <c r="B37" i="3"/>
  <c r="C37" i="3"/>
  <c r="D37" i="3"/>
  <c r="B38" i="3"/>
  <c r="C38" i="3"/>
  <c r="D38" i="3"/>
  <c r="B39" i="3"/>
  <c r="C39" i="3"/>
  <c r="D39" i="3"/>
  <c r="B40" i="3"/>
  <c r="C40" i="3"/>
  <c r="D40" i="3"/>
  <c r="B41" i="3"/>
  <c r="C41" i="3"/>
  <c r="D41" i="3"/>
  <c r="B42" i="3"/>
  <c r="C42" i="3"/>
  <c r="D42" i="3"/>
  <c r="B43" i="3"/>
  <c r="C43" i="3"/>
  <c r="D43" i="3"/>
  <c r="B44" i="3"/>
  <c r="C44" i="3"/>
  <c r="D44" i="3"/>
  <c r="B45" i="3"/>
  <c r="C45" i="3"/>
  <c r="D45" i="3"/>
  <c r="B46" i="3"/>
  <c r="C46" i="3"/>
  <c r="D46" i="3"/>
  <c r="B47" i="3"/>
  <c r="C47" i="3"/>
  <c r="D47" i="3"/>
  <c r="B48" i="3"/>
  <c r="C48" i="3"/>
  <c r="D48" i="3"/>
  <c r="B49" i="3"/>
  <c r="C49" i="3"/>
  <c r="D49" i="3"/>
  <c r="B50" i="3"/>
  <c r="C50" i="3"/>
  <c r="D50" i="3"/>
  <c r="B51" i="3"/>
  <c r="C51" i="3"/>
  <c r="D51" i="3"/>
  <c r="B52" i="3"/>
  <c r="C52" i="3"/>
  <c r="D52" i="3"/>
  <c r="B53" i="3"/>
  <c r="C53" i="3"/>
  <c r="D53" i="3"/>
  <c r="B54" i="3"/>
  <c r="C54" i="3"/>
  <c r="D54" i="3"/>
  <c r="B55" i="3"/>
  <c r="C55" i="3"/>
  <c r="D55" i="3"/>
  <c r="B56" i="3"/>
  <c r="C56" i="3"/>
  <c r="D56" i="3"/>
  <c r="B57" i="3"/>
  <c r="C57" i="3"/>
  <c r="D57" i="3"/>
  <c r="B58" i="3"/>
  <c r="C58" i="3"/>
  <c r="D58" i="3"/>
  <c r="B59" i="3"/>
  <c r="C59" i="3"/>
  <c r="D59" i="3"/>
  <c r="B60" i="3"/>
  <c r="C60" i="3"/>
  <c r="D60" i="3"/>
  <c r="B61" i="3"/>
  <c r="C61" i="3"/>
  <c r="D61" i="3"/>
  <c r="B62" i="3"/>
  <c r="C62" i="3"/>
  <c r="D62" i="3"/>
  <c r="B63" i="3"/>
  <c r="C63" i="3"/>
  <c r="D63" i="3"/>
  <c r="B64" i="3"/>
  <c r="C64" i="3"/>
  <c r="D64" i="3"/>
  <c r="B65" i="3"/>
  <c r="C65" i="3"/>
  <c r="D65" i="3"/>
  <c r="B66" i="3"/>
  <c r="C66" i="3"/>
  <c r="D66" i="3"/>
  <c r="B67" i="3"/>
  <c r="C67" i="3"/>
  <c r="D67" i="3"/>
  <c r="B68" i="3"/>
  <c r="C68" i="3"/>
  <c r="D68" i="3"/>
  <c r="B69" i="3"/>
  <c r="C69" i="3"/>
  <c r="D69" i="3"/>
  <c r="B70" i="3"/>
  <c r="C70" i="3"/>
  <c r="D70" i="3"/>
  <c r="B71" i="3"/>
  <c r="C71" i="3"/>
  <c r="D71" i="3"/>
  <c r="B72" i="3"/>
  <c r="C72" i="3"/>
  <c r="D72" i="3"/>
  <c r="B73" i="3"/>
  <c r="C73" i="3"/>
  <c r="D73" i="3"/>
  <c r="B74" i="3"/>
  <c r="C74" i="3"/>
  <c r="D74" i="3"/>
  <c r="B75" i="3"/>
  <c r="C75" i="3"/>
  <c r="D75" i="3"/>
  <c r="B76" i="3"/>
  <c r="C76" i="3"/>
  <c r="D76" i="3"/>
  <c r="B77" i="3"/>
  <c r="C77" i="3"/>
  <c r="D77" i="3"/>
  <c r="B78" i="3"/>
  <c r="C78" i="3"/>
  <c r="D78" i="3"/>
  <c r="B79" i="3"/>
  <c r="C79" i="3"/>
  <c r="D79" i="3"/>
  <c r="B80" i="3"/>
  <c r="C80" i="3"/>
  <c r="D80" i="3"/>
  <c r="B81" i="3"/>
  <c r="C81" i="3"/>
  <c r="D81" i="3"/>
  <c r="B82" i="3"/>
  <c r="C82" i="3"/>
  <c r="D82" i="3"/>
  <c r="B83" i="3"/>
  <c r="C83" i="3"/>
  <c r="D83" i="3"/>
  <c r="B84" i="3"/>
  <c r="C84" i="3"/>
  <c r="D84" i="3"/>
  <c r="B85" i="3"/>
  <c r="C85" i="3"/>
  <c r="D85" i="3"/>
  <c r="B86" i="3"/>
  <c r="C86" i="3"/>
  <c r="D86" i="3"/>
  <c r="B87" i="3"/>
  <c r="C87" i="3"/>
  <c r="D87" i="3"/>
  <c r="B88" i="3"/>
  <c r="C88" i="3"/>
  <c r="D88" i="3"/>
  <c r="B89" i="3"/>
  <c r="C89" i="3"/>
  <c r="D89" i="3"/>
  <c r="B90" i="3"/>
  <c r="C90" i="3"/>
  <c r="D90" i="3"/>
  <c r="B91" i="3"/>
  <c r="C91" i="3"/>
  <c r="D91" i="3"/>
  <c r="B92" i="3"/>
  <c r="C92" i="3"/>
  <c r="D92" i="3"/>
  <c r="B93" i="3"/>
  <c r="C93" i="3"/>
  <c r="D93" i="3"/>
  <c r="B94" i="3"/>
  <c r="C94" i="3"/>
  <c r="D94" i="3"/>
  <c r="B95" i="3"/>
  <c r="C95" i="3"/>
  <c r="D95" i="3"/>
  <c r="B96" i="3"/>
  <c r="C96" i="3"/>
  <c r="D96" i="3"/>
  <c r="B97" i="3"/>
  <c r="C97" i="3"/>
  <c r="D97" i="3"/>
  <c r="B98" i="3"/>
  <c r="C98" i="3"/>
  <c r="D98" i="3"/>
  <c r="B99" i="3"/>
  <c r="C99" i="3"/>
  <c r="D99" i="3"/>
  <c r="B100" i="3"/>
  <c r="C100" i="3"/>
  <c r="D100" i="3"/>
  <c r="B101" i="3"/>
  <c r="C101" i="3"/>
  <c r="D101" i="3"/>
  <c r="B102" i="3"/>
  <c r="C102" i="3"/>
  <c r="D102" i="3"/>
  <c r="B103" i="3"/>
  <c r="C103" i="3"/>
  <c r="D103" i="3"/>
  <c r="B104" i="3"/>
  <c r="C104" i="3"/>
  <c r="D104" i="3"/>
  <c r="B105" i="3"/>
  <c r="C105" i="3"/>
  <c r="D105" i="3"/>
  <c r="B106" i="3"/>
  <c r="C106" i="3"/>
  <c r="D106" i="3"/>
  <c r="A7" i="4"/>
  <c r="B7" i="4"/>
  <c r="C7" i="4"/>
  <c r="D7" i="4"/>
  <c r="E7" i="4"/>
  <c r="F7" i="4"/>
  <c r="G7" i="4"/>
  <c r="H7" i="4"/>
  <c r="I7" i="4"/>
  <c r="J7" i="4"/>
  <c r="K7"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Ten</author>
    <author>ten_IG</author>
  </authors>
  <commentList>
    <comment ref="A3" authorId="0" shapeId="0" xr:uid="{00000000-0006-0000-0000-000001000000}">
      <text>
        <r>
          <rPr>
            <b/>
            <sz val="8"/>
            <color indexed="81"/>
            <rFont val="Tahoma"/>
            <family val="2"/>
            <charset val="204"/>
          </rPr>
          <t>Ten:</t>
        </r>
        <r>
          <rPr>
            <sz val="8"/>
            <color indexed="81"/>
            <rFont val="Tahoma"/>
            <family val="2"/>
            <charset val="204"/>
          </rPr>
          <t xml:space="preserve">
Version of Task
Вариант задания</t>
        </r>
      </text>
    </comment>
    <comment ref="D3" authorId="1" shapeId="0" xr:uid="{00000000-0006-0000-0000-000002000000}">
      <text>
        <r>
          <rPr>
            <b/>
            <sz val="8"/>
            <color indexed="81"/>
            <rFont val="Tahoma"/>
            <family val="2"/>
            <charset val="204"/>
          </rPr>
          <t>ten_IG:</t>
        </r>
        <r>
          <rPr>
            <sz val="8"/>
            <color indexed="81"/>
            <rFont val="Tahoma"/>
            <family val="2"/>
            <charset val="204"/>
          </rPr>
          <t xml:space="preserve">
Себестоимость//Начальная точка поиска в лаб №1, 2//
Cos//Original Searching Point in Labs no.1, 2</t>
        </r>
      </text>
    </comment>
    <comment ref="F3" authorId="1" shapeId="0" xr:uid="{00000000-0006-0000-0000-000003000000}">
      <text>
        <r>
          <rPr>
            <b/>
            <sz val="8"/>
            <color indexed="81"/>
            <rFont val="Tahoma"/>
            <family val="2"/>
            <charset val="204"/>
          </rPr>
          <t>ten_IG:</t>
        </r>
        <r>
          <rPr>
            <sz val="8"/>
            <color indexed="81"/>
            <rFont val="Tahoma"/>
            <family val="2"/>
            <charset val="204"/>
          </rPr>
          <t xml:space="preserve">
Допустимая погрешность решения задачи//
Tolerance of the solution</t>
        </r>
      </text>
    </comment>
    <comment ref="G3" authorId="1" shapeId="0" xr:uid="{00000000-0006-0000-0000-000004000000}">
      <text>
        <r>
          <rPr>
            <b/>
            <sz val="8"/>
            <color indexed="81"/>
            <rFont val="Tahoma"/>
            <family val="2"/>
            <charset val="204"/>
          </rPr>
          <t>ten_IG:</t>
        </r>
        <r>
          <rPr>
            <sz val="8"/>
            <color indexed="81"/>
            <rFont val="Tahoma"/>
            <family val="2"/>
            <charset val="204"/>
          </rPr>
          <t xml:space="preserve">
Предельная величина кредита//
The Limit of Credit value</t>
        </r>
      </text>
    </comment>
    <comment ref="I3" authorId="1" shapeId="0" xr:uid="{00000000-0006-0000-0000-000005000000}">
      <text>
        <r>
          <rPr>
            <b/>
            <sz val="8"/>
            <color indexed="81"/>
            <rFont val="Tahoma"/>
            <family val="2"/>
            <charset val="204"/>
          </rPr>
          <t>ten_IG:</t>
        </r>
        <r>
          <rPr>
            <sz val="8"/>
            <color indexed="81"/>
            <rFont val="Tahoma"/>
            <family val="2"/>
            <charset val="204"/>
          </rPr>
          <t xml:space="preserve">
Solution of odds labs// Решение для нечетных задач</t>
        </r>
      </text>
    </comment>
    <comment ref="J3" authorId="1" shapeId="0" xr:uid="{00000000-0006-0000-0000-000006000000}">
      <text>
        <r>
          <rPr>
            <b/>
            <sz val="8"/>
            <color indexed="81"/>
            <rFont val="Tahoma"/>
            <family val="2"/>
            <charset val="204"/>
          </rPr>
          <t>ten_IG:</t>
        </r>
        <r>
          <rPr>
            <sz val="8"/>
            <color indexed="81"/>
            <rFont val="Tahoma"/>
            <family val="2"/>
            <charset val="204"/>
          </rPr>
          <t xml:space="preserve">
Solution of even labs.. Решение для четных задач</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ten</author>
  </authors>
  <commentList>
    <comment ref="G4" authorId="0" shapeId="0" xr:uid="{00000000-0006-0000-0100-000001000000}">
      <text>
        <r>
          <rPr>
            <b/>
            <sz val="8"/>
            <color indexed="81"/>
            <rFont val="Tahoma"/>
            <family val="2"/>
            <charset val="204"/>
          </rPr>
          <t xml:space="preserve">ten:
</t>
        </r>
        <r>
          <rPr>
            <sz val="8"/>
            <color indexed="81"/>
            <rFont val="Tahoma"/>
            <family val="2"/>
            <charset val="204"/>
          </rPr>
          <t>In the Even Search Method the following inequality is obey:
h&lt;=Tolerance.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tenig</author>
    <author>Windows User</author>
  </authors>
  <commentList>
    <comment ref="L1" authorId="0" shapeId="0" xr:uid="{00000000-0006-0000-0200-000001000000}">
      <text>
        <r>
          <rPr>
            <b/>
            <sz val="9"/>
            <color indexed="81"/>
            <rFont val="Tahoma"/>
            <family val="2"/>
          </rPr>
          <t>tenig:</t>
        </r>
        <r>
          <rPr>
            <sz val="9"/>
            <color indexed="81"/>
            <rFont val="Tahoma"/>
            <family val="2"/>
          </rPr>
          <t xml:space="preserve">
It's "Amount of iteration" from the cell Sheet4!K7.</t>
        </r>
      </text>
    </comment>
    <comment ref="O1" authorId="1" shapeId="0" xr:uid="{00000000-0006-0000-0200-000002000000}">
      <text>
        <r>
          <rPr>
            <b/>
            <sz val="9"/>
            <color indexed="81"/>
            <rFont val="Tahoma"/>
            <family val="2"/>
          </rPr>
          <t>Windows User:</t>
        </r>
        <r>
          <rPr>
            <sz val="9"/>
            <color indexed="81"/>
            <rFont val="Tahoma"/>
            <family val="2"/>
          </rPr>
          <t xml:space="preserve">
</t>
        </r>
        <r>
          <rPr>
            <b/>
            <sz val="9"/>
            <color indexed="81"/>
            <rFont val="Tahoma"/>
            <family val="2"/>
          </rPr>
          <t>If</t>
        </r>
        <r>
          <rPr>
            <sz val="9"/>
            <color indexed="81"/>
            <rFont val="Tahoma"/>
            <family val="2"/>
          </rPr>
          <t xml:space="preserve"> sheet3!L1&lt;=3 
</t>
        </r>
        <r>
          <rPr>
            <b/>
            <sz val="9"/>
            <color indexed="81"/>
            <rFont val="Tahoma"/>
            <family val="2"/>
          </rPr>
          <t>Then</t>
        </r>
        <r>
          <rPr>
            <sz val="9"/>
            <color indexed="81"/>
            <rFont val="Tahoma"/>
            <family val="2"/>
          </rPr>
          <t xml:space="preserve"> sheet3!O1=21
</t>
        </r>
        <r>
          <rPr>
            <b/>
            <sz val="9"/>
            <color indexed="81"/>
            <rFont val="Tahoma"/>
            <family val="2"/>
          </rPr>
          <t>Else</t>
        </r>
        <r>
          <rPr>
            <sz val="9"/>
            <color indexed="81"/>
            <rFont val="Tahoma"/>
            <family val="2"/>
          </rPr>
          <t xml:space="preserve"> sheet3!O1=MATCH(0,sheet3!K7:K27,0)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ten_IG</author>
    <author>Admin</author>
    <author>Windows User</author>
  </authors>
  <commentList>
    <comment ref="A4" authorId="0" shapeId="0" xr:uid="{00000000-0006-0000-0300-000001000000}">
      <text>
        <r>
          <rPr>
            <b/>
            <sz val="9"/>
            <color indexed="81"/>
            <rFont val="Tahoma"/>
            <family val="2"/>
            <charset val="204"/>
          </rPr>
          <t>Administrator:
User Guide of Program to Automatically Measure Elapsed Time:</t>
        </r>
        <r>
          <rPr>
            <sz val="9"/>
            <color indexed="81"/>
            <rFont val="Tahoma"/>
            <family val="2"/>
            <charset val="204"/>
          </rPr>
          <t xml:space="preserve">
     1) To automatically measure the ELAPSED TIME (the dependence of the program operation time) with ESM (an optimization method) with respect to Number of the Iteration criterion for solving this optimization problem, click on the "Elapsed Time for given Numbers of Iterations" button. After measuring the time by the program, the report will appear in cell SHEET4!K12.
     2) To automatically measure the ELAPSED TIME (the dependence of the program operation time) with ESM (an optimization method) with respect to </t>
        </r>
        <r>
          <rPr>
            <b/>
            <i/>
            <sz val="9"/>
            <color indexed="81"/>
            <rFont val="Tahoma"/>
            <family val="2"/>
            <charset val="204"/>
          </rPr>
          <t>value of the Tolerance criterion</t>
        </r>
        <r>
          <rPr>
            <sz val="9"/>
            <color indexed="81"/>
            <rFont val="Tahoma"/>
            <family val="2"/>
            <charset val="204"/>
          </rPr>
          <t xml:space="preserve"> for solving this optimization problem, click on the "Elapsed Time for given Tolerance" button. After measuring the time by the program, the report will appear in cell </t>
        </r>
        <r>
          <rPr>
            <b/>
            <sz val="9"/>
            <color indexed="81"/>
            <rFont val="Tahoma"/>
            <family val="2"/>
            <charset val="204"/>
          </rPr>
          <t>SHEET4!K18</t>
        </r>
        <r>
          <rPr>
            <sz val="9"/>
            <color indexed="81"/>
            <rFont val="Tahoma"/>
            <family val="2"/>
            <charset val="204"/>
          </rPr>
          <t xml:space="preserve">. the </t>
        </r>
      </text>
    </comment>
    <comment ref="A5" authorId="1" shapeId="0" xr:uid="{00000000-0006-0000-0300-000002000000}">
      <text>
        <r>
          <rPr>
            <b/>
            <sz val="8"/>
            <color indexed="81"/>
            <rFont val="Tahoma"/>
            <family val="2"/>
            <charset val="204"/>
          </rPr>
          <t>ten_IG:</t>
        </r>
        <r>
          <rPr>
            <sz val="8"/>
            <color indexed="81"/>
            <rFont val="Tahoma"/>
            <family val="2"/>
            <charset val="204"/>
          </rPr>
          <t xml:space="preserve">
Copyrigt©2002 by Joseph Gregorievitch Ten.
This Program is property of the J.Gr. Ten.
All right reserved. Design in the Kyrgyz Republic.
Except as permitted under the Kyrgyz Republic Copyright Act of 1998, no part of this Program may be reproduced or distributed in any form or by any means, or stored in a database or retrieval system, without the prior written permission of the author Joseph Gregorievitch Ten.
Phone: +996 (3312) 42-38-53
E-mail: tenig@hotmail.com, tenig@mail.ru
http://www.ktu-pocs.elcat.kg
</t>
        </r>
      </text>
    </comment>
    <comment ref="A7" authorId="2" shapeId="0" xr:uid="{00000000-0006-0000-0300-000003000000}">
      <text>
        <r>
          <rPr>
            <b/>
            <sz val="9"/>
            <color indexed="81"/>
            <rFont val="Tahoma"/>
            <family val="2"/>
            <charset val="204"/>
          </rPr>
          <t>Admin:</t>
        </r>
        <r>
          <rPr>
            <sz val="9"/>
            <color indexed="81"/>
            <rFont val="Tahoma"/>
            <family val="2"/>
            <charset val="204"/>
          </rPr>
          <t xml:space="preserve">
NB: После нажатия на кнопку "Elapsed Time for given Number of Iterations" или "Elapsed Time for given Tolerance" для измерения производительности программы надо обязательно восстановить в ячейке А7 код программы: "=ЕСЛИ(H5=1;0;A7+1)". Иначе программа на Sheet4, реализующая ESM не будет работать правильно.</t>
        </r>
      </text>
    </comment>
    <comment ref="K8" authorId="0" shapeId="0" xr:uid="{00000000-0006-0000-0300-000004000000}">
      <text>
        <r>
          <rPr>
            <b/>
            <sz val="9"/>
            <color indexed="81"/>
            <rFont val="Tahoma"/>
            <family val="2"/>
            <charset val="204"/>
          </rPr>
          <t>Administrator:</t>
        </r>
        <r>
          <rPr>
            <sz val="9"/>
            <color indexed="81"/>
            <rFont val="Tahoma"/>
            <family val="2"/>
            <charset val="204"/>
          </rPr>
          <t xml:space="preserve">
Here is a maximum of iterations number. Program checks terminating algorithm such as k&lt;k_max.</t>
        </r>
      </text>
    </comment>
    <comment ref="J11" authorId="1" shapeId="0" xr:uid="{00000000-0006-0000-0300-000005000000}">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K11" authorId="0" shapeId="0" xr:uid="{00000000-0006-0000-0300-000006000000}">
      <text>
        <r>
          <rPr>
            <b/>
            <sz val="9"/>
            <color indexed="81"/>
            <rFont val="Tahoma"/>
            <family val="2"/>
            <charset val="204"/>
          </rPr>
          <t>Administrator:</t>
        </r>
        <r>
          <rPr>
            <sz val="9"/>
            <color indexed="81"/>
            <rFont val="Tahoma"/>
            <family val="2"/>
            <charset val="204"/>
          </rPr>
          <t xml:space="preserve">
To measure the elapsed time of the program to solve optimization problem by ESM with respect to criterion Number of Iterations it's need:
1) Set the program into "Initial state/Исходное состояние"
2) Set the g</t>
        </r>
        <r>
          <rPr>
            <sz val="9"/>
            <color indexed="81"/>
            <rFont val="Tahoma"/>
            <family val="2"/>
          </rPr>
          <t>iven number</t>
        </r>
        <r>
          <rPr>
            <sz val="9"/>
            <color indexed="81"/>
            <rFont val="Tahoma"/>
            <family val="2"/>
            <charset val="204"/>
          </rPr>
          <t xml:space="preserve"> of iterations k_max into the Cell K8;
3) Click on the button "</t>
        </r>
        <r>
          <rPr>
            <b/>
            <sz val="9"/>
            <color indexed="81"/>
            <rFont val="Tahoma"/>
            <family val="2"/>
          </rPr>
          <t>Elapsed Time for Given Number of Iterations</t>
        </r>
        <r>
          <rPr>
            <sz val="9"/>
            <color indexed="81"/>
            <rFont val="Tahoma"/>
            <family val="2"/>
            <charset val="204"/>
          </rPr>
          <t>". 
After finishing of the working of the program you can see a report about elapsed time and number of iterations have been used in the cell K12.</t>
        </r>
      </text>
    </comment>
    <comment ref="K12" authorId="3" shapeId="0" xr:uid="{00000000-0006-0000-0300-000007000000}">
      <text>
        <r>
          <rPr>
            <b/>
            <sz val="9"/>
            <color indexed="81"/>
            <rFont val="Tahoma"/>
            <family val="2"/>
          </rPr>
          <t>Windows User:</t>
        </r>
        <r>
          <rPr>
            <sz val="9"/>
            <color indexed="81"/>
            <rFont val="Tahoma"/>
            <family val="2"/>
          </rPr>
          <t xml:space="preserve">
NB: If the value of the cell K7 less than given number of iterations K_max in the cell K8 then it is needed to decrease a Tolearnce value in the cell I5.</t>
        </r>
      </text>
    </comment>
    <comment ref="K17" authorId="0" shapeId="0" xr:uid="{00000000-0006-0000-0300-000008000000}">
      <text>
        <r>
          <rPr>
            <b/>
            <sz val="9"/>
            <color indexed="81"/>
            <rFont val="Tahoma"/>
            <family val="2"/>
            <charset val="204"/>
          </rPr>
          <t>Administrator:</t>
        </r>
        <r>
          <rPr>
            <sz val="9"/>
            <color indexed="81"/>
            <rFont val="Tahoma"/>
            <family val="2"/>
            <charset val="204"/>
          </rPr>
          <t xml:space="preserve">
To measure the elapsed time of the program for solving the optimization problem by the ESM method with respect to the Tolerance criterion, it is necessary to carry out following actions:
1) Select: File/Options/Formulas. 
2) Set the content of the ListBox "Maximum Iterations:" to figure "1".
3) Click "OK" on the below of Excel Options sheet. It is important to valid working of the program to determine an elapsed time!
4) Set a desirable value of Tolerance into the Cell sheet4!I5.
   </t>
        </r>
        <r>
          <rPr>
            <b/>
            <sz val="9"/>
            <color indexed="81"/>
            <rFont val="Tahoma"/>
            <family val="2"/>
          </rPr>
          <t>NB:</t>
        </r>
        <r>
          <rPr>
            <sz val="9"/>
            <color indexed="81"/>
            <rFont val="Tahoma"/>
            <family val="2"/>
            <charset val="204"/>
          </rPr>
          <t xml:space="preserve"> Be attentive when you setting a Tolerance figure for ESM. 
At Tolerance figure=0.001 the elapsed time will be 976 seconds or 17 minutes! 
Are you ready to wait for the so long time!!!
5) Click to button "</t>
        </r>
        <r>
          <rPr>
            <b/>
            <sz val="9"/>
            <color indexed="81"/>
            <rFont val="Tahoma"/>
            <family val="2"/>
          </rPr>
          <t>Elapsed time for given Tolerance</t>
        </r>
        <r>
          <rPr>
            <sz val="9"/>
            <color indexed="81"/>
            <rFont val="Tahoma"/>
            <family val="2"/>
            <charset val="204"/>
          </rPr>
          <t xml:space="preserve">" . 
When the program is finished, you can see the report in cell K18.
</t>
        </r>
      </text>
    </comment>
    <comment ref="H67" authorId="1" shapeId="0" xr:uid="{00000000-0006-0000-0300-000009000000}">
      <text>
        <r>
          <rPr>
            <b/>
            <sz val="8"/>
            <color indexed="81"/>
            <rFont val="Tahoma"/>
            <family val="2"/>
            <charset val="204"/>
          </rPr>
          <t>ten_IG:</t>
        </r>
        <r>
          <rPr>
            <sz val="8"/>
            <color indexed="81"/>
            <rFont val="Tahoma"/>
            <family val="2"/>
            <charset val="204"/>
          </rPr>
          <t xml:space="preserve">
Вставить ссылку на оптимальное решение задачи №1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ten_IG</author>
  </authors>
  <commentList>
    <comment ref="J11" authorId="0" shapeId="0" xr:uid="{6A7F9F15-5203-4D58-902A-8871F7C76B79}">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 ref="J70" authorId="0" shapeId="0" xr:uid="{3A091425-C846-4059-B8B4-9A9E2709D7F4}">
      <text>
        <r>
          <rPr>
            <b/>
            <sz val="8"/>
            <color indexed="81"/>
            <rFont val="Tahoma"/>
            <family val="2"/>
            <charset val="204"/>
          </rPr>
          <t>ten_IG:</t>
        </r>
        <r>
          <rPr>
            <sz val="8"/>
            <color indexed="81"/>
            <rFont val="Tahoma"/>
            <family val="2"/>
            <charset val="204"/>
          </rPr>
          <t xml:space="preserve">
В методе Равномерного поиска значение параметра "Величина шага поиска" должно быть &lt;= "Допустимая погрешность".</t>
        </r>
      </text>
    </comment>
  </commentList>
</comments>
</file>

<file path=xl/sharedStrings.xml><?xml version="1.0" encoding="utf-8"?>
<sst xmlns="http://schemas.openxmlformats.org/spreadsheetml/2006/main" count="152" uniqueCount="117">
  <si>
    <t>№</t>
  </si>
  <si>
    <t>Цена</t>
  </si>
  <si>
    <t>Спрос</t>
  </si>
  <si>
    <t>Прибыль</t>
  </si>
  <si>
    <t>N</t>
  </si>
  <si>
    <t>Оптимальная Цена</t>
  </si>
  <si>
    <t xml:space="preserve"> Оптимальная Прибыль</t>
  </si>
  <si>
    <t>Начальная цена</t>
  </si>
  <si>
    <t>Оптимальный Спрос</t>
  </si>
  <si>
    <t>Оптимальный Кредит</t>
  </si>
  <si>
    <t>Задача №1: Найти максимум прибыли путем варьирования ценой рынка без учета ограничения на величину кредита.</t>
  </si>
  <si>
    <t>Прибыль=Спрос*(Цена-Себестоимость); Спрос=A/(Цена+Цена*B)^(2*D); Кредит=Себестоимость*Спрос.</t>
  </si>
  <si>
    <t>Количество итераций</t>
  </si>
  <si>
    <t>Допустимая Погрешность</t>
  </si>
  <si>
    <r>
      <t xml:space="preserve">Лабораторная работа №_3: Исследование </t>
    </r>
    <r>
      <rPr>
        <b/>
        <i/>
        <sz val="14"/>
        <rFont val="Arial Cyr"/>
        <charset val="204"/>
      </rPr>
      <t>метода равномерного поиска</t>
    </r>
    <r>
      <rPr>
        <b/>
        <sz val="10"/>
        <rFont val="Arial Cyr"/>
        <charset val="204"/>
      </rPr>
      <t xml:space="preserve"> при решении задачи №1.</t>
    </r>
  </si>
  <si>
    <t>Величина шага поиска</t>
  </si>
  <si>
    <t>Программа, реализующая метод равномерного поиска</t>
  </si>
  <si>
    <t>Оптимальная цена</t>
  </si>
  <si>
    <t>Состояние процесса поиска</t>
  </si>
  <si>
    <t>Кредит</t>
  </si>
  <si>
    <t>Выбор начальной цены</t>
  </si>
  <si>
    <t>В исходное состояние</t>
  </si>
  <si>
    <t>Пуск программы</t>
  </si>
  <si>
    <t>Номер итерации</t>
  </si>
  <si>
    <t>f(x)=[exp(x)-2-x]^2 .</t>
  </si>
  <si>
    <t>k</t>
  </si>
  <si>
    <r>
      <t>x</t>
    </r>
    <r>
      <rPr>
        <b/>
        <vertAlign val="superscript"/>
        <sz val="10"/>
        <rFont val="Arial"/>
        <family val="2"/>
        <charset val="204"/>
      </rPr>
      <t>k</t>
    </r>
  </si>
  <si>
    <r>
      <t>f(x</t>
    </r>
    <r>
      <rPr>
        <b/>
        <vertAlign val="superscript"/>
        <sz val="10"/>
        <rFont val="Arial"/>
        <family val="2"/>
        <charset val="204"/>
      </rPr>
      <t>k</t>
    </r>
    <r>
      <rPr>
        <b/>
        <sz val="10"/>
        <rFont val="Arial"/>
        <family val="2"/>
        <charset val="204"/>
      </rPr>
      <t>)</t>
    </r>
  </si>
  <si>
    <r>
      <t>x</t>
    </r>
    <r>
      <rPr>
        <b/>
        <vertAlign val="superscript"/>
        <sz val="10"/>
        <rFont val="Arial"/>
        <family val="2"/>
        <charset val="204"/>
      </rPr>
      <t>k</t>
    </r>
    <r>
      <rPr>
        <b/>
        <sz val="10"/>
        <rFont val="Arial"/>
        <family val="2"/>
        <charset val="204"/>
      </rPr>
      <t>-x</t>
    </r>
    <r>
      <rPr>
        <b/>
        <vertAlign val="superscript"/>
        <sz val="10"/>
        <rFont val="Arial"/>
        <family val="2"/>
        <charset val="204"/>
      </rPr>
      <t>k-1</t>
    </r>
  </si>
  <si>
    <t>Допустимая погрешность</t>
  </si>
  <si>
    <t>X*</t>
  </si>
  <si>
    <t>alfa</t>
  </si>
  <si>
    <t>Выбор допустимой погрешности</t>
  </si>
  <si>
    <t>sigma</t>
  </si>
  <si>
    <t>List of sigma</t>
  </si>
  <si>
    <t>Задание по лабораторной работе:</t>
  </si>
  <si>
    <t>1. Исследовать зависимости Количества итераций от Допустимой Погрешности, Начального значения цены.</t>
  </si>
  <si>
    <t>2. Построить в виде графиков 3.1, 3.2 эти зависимости.</t>
  </si>
  <si>
    <t>3. Определить скорость сходимости Метода Равномерного Поиска.</t>
  </si>
  <si>
    <t>Parametr_A</t>
  </si>
  <si>
    <t>Parametr_B</t>
  </si>
  <si>
    <t>Cost</t>
  </si>
  <si>
    <t>Parametr_D</t>
  </si>
  <si>
    <t>Tolerance</t>
  </si>
  <si>
    <r>
      <t>X*</t>
    </r>
    <r>
      <rPr>
        <vertAlign val="subscript"/>
        <sz val="8"/>
        <rFont val="Arial Cyr"/>
        <charset val="204"/>
      </rPr>
      <t>1</t>
    </r>
  </si>
  <si>
    <r>
      <t>X*</t>
    </r>
    <r>
      <rPr>
        <vertAlign val="subscript"/>
        <sz val="8"/>
        <rFont val="Arial Cyr"/>
        <charset val="204"/>
      </rPr>
      <t>2</t>
    </r>
  </si>
  <si>
    <t>Таблица 4: Зависимость Количества итераций от Допустимой Погрешности, Начального значения цены и Величины шага поиска</t>
  </si>
  <si>
    <t>Размер области поиска=НачЦена-ОптЦена</t>
  </si>
  <si>
    <t>Limit of Credit Value</t>
  </si>
  <si>
    <t>min_f(x)</t>
  </si>
  <si>
    <r>
      <t>f(x</t>
    </r>
    <r>
      <rPr>
        <b/>
        <vertAlign val="superscript"/>
        <sz val="10"/>
        <rFont val="Arial"/>
        <family val="2"/>
        <charset val="204"/>
      </rPr>
      <t>k</t>
    </r>
    <r>
      <rPr>
        <b/>
        <sz val="10"/>
        <rFont val="Arial"/>
        <family val="2"/>
        <charset val="204"/>
      </rPr>
      <t>)–min_f(x)</t>
    </r>
  </si>
  <si>
    <t>h</t>
  </si>
  <si>
    <r>
      <t xml:space="preserve">Упражнение 3.1 Использовать Алгоритм Равномерного Поиска для поиска локального </t>
    </r>
    <r>
      <rPr>
        <sz val="10"/>
        <color indexed="10"/>
        <rFont val="Arial"/>
        <family val="2"/>
        <charset val="204"/>
      </rPr>
      <t>минимума</t>
    </r>
    <r>
      <rPr>
        <sz val="10"/>
        <rFont val="Arial"/>
        <family val="2"/>
        <charset val="204"/>
      </rPr>
      <t xml:space="preserve"> заданной целевой функции</t>
    </r>
  </si>
  <si>
    <r>
      <t>Y=f(x</t>
    </r>
    <r>
      <rPr>
        <b/>
        <vertAlign val="superscript"/>
        <sz val="10"/>
        <rFont val="Arial"/>
        <family val="2"/>
        <charset val="204"/>
      </rPr>
      <t>k</t>
    </r>
    <r>
      <rPr>
        <b/>
        <sz val="10"/>
        <rFont val="Arial"/>
        <family val="2"/>
        <charset val="204"/>
      </rPr>
      <t>)</t>
    </r>
  </si>
  <si>
    <t>Laboratory works #_3: Investigate as Error and Initial approximation have an influence on solution of Problem #1</t>
  </si>
  <si>
    <t>Linear speed of convergence</t>
  </si>
  <si>
    <r>
      <t xml:space="preserve">Problem definition #_1: Find the maximum of Profit by the Price of market </t>
    </r>
    <r>
      <rPr>
        <b/>
        <sz val="10"/>
        <rFont val="Arial"/>
        <family val="2"/>
        <charset val="204"/>
      </rPr>
      <t>without</t>
    </r>
    <r>
      <rPr>
        <sz val="10"/>
        <rFont val="Arial"/>
        <family val="2"/>
        <charset val="204"/>
      </rPr>
      <t xml:space="preserve"> Constraints.</t>
    </r>
  </si>
  <si>
    <t>Superlinear Speed of convergence</t>
  </si>
  <si>
    <t>Profit=Demand*(Price-Cost);  Demand=A/(Price+Price*B)^(2*D); Credit=Cost*Demand.</t>
  </si>
  <si>
    <t>Table 3.3: Calculation of the Convergence Rate of the Even Search Method</t>
  </si>
  <si>
    <t>Quadratic Speed of convergence</t>
  </si>
  <si>
    <t>No.</t>
  </si>
  <si>
    <r>
      <t>X</t>
    </r>
    <r>
      <rPr>
        <vertAlign val="subscript"/>
        <sz val="10"/>
        <rFont val="Arial"/>
        <family val="2"/>
        <charset val="204"/>
      </rPr>
      <t>k</t>
    </r>
    <r>
      <rPr>
        <sz val="10"/>
        <rFont val="Arial"/>
        <family val="2"/>
        <charset val="204"/>
      </rPr>
      <t>=Price(k)</t>
    </r>
  </si>
  <si>
    <t>min</t>
  </si>
  <si>
    <t>f(x)–MIN</t>
  </si>
  <si>
    <r>
      <t>Conclusion is made manually: Even Search method has Linear speed of convergence because the sequence {abs(X*-X</t>
    </r>
    <r>
      <rPr>
        <vertAlign val="subscript"/>
        <sz val="12"/>
        <rFont val="Arial"/>
        <family val="2"/>
      </rPr>
      <t>k+1</t>
    </r>
    <r>
      <rPr>
        <sz val="12"/>
        <rFont val="Arial"/>
        <family val="2"/>
      </rPr>
      <t>)/abs(X*-X</t>
    </r>
    <r>
      <rPr>
        <vertAlign val="subscript"/>
        <sz val="12"/>
        <rFont val="Arial"/>
        <family val="2"/>
      </rPr>
      <t>k</t>
    </r>
    <r>
      <rPr>
        <sz val="12"/>
        <rFont val="Arial"/>
        <family val="2"/>
      </rPr>
      <t>)</t>
    </r>
    <r>
      <rPr>
        <vertAlign val="superscript"/>
        <sz val="12"/>
        <rFont val="Arial"/>
        <family val="2"/>
      </rPr>
      <t>SIGMA</t>
    </r>
    <r>
      <rPr>
        <sz val="12"/>
        <rFont val="Arial"/>
        <family val="2"/>
      </rPr>
      <t>} converges to Limit Value of Asymptotic Error Constant A = 0.999691233043126 only at SIGMA = 1</t>
    </r>
  </si>
  <si>
    <r>
      <t xml:space="preserve">Elapsed Time for given </t>
    </r>
    <r>
      <rPr>
        <b/>
        <i/>
        <sz val="10"/>
        <rFont val="Arial Cyr"/>
      </rPr>
      <t>Number of Iterations</t>
    </r>
  </si>
  <si>
    <r>
      <t xml:space="preserve">Elapsed Time for given </t>
    </r>
    <r>
      <rPr>
        <b/>
        <i/>
        <sz val="10"/>
        <rFont val="Arial Cyr"/>
      </rPr>
      <t>Tolerance</t>
    </r>
  </si>
  <si>
    <t>See User's Guide here</t>
  </si>
  <si>
    <r>
      <t>A</t>
    </r>
    <r>
      <rPr>
        <vertAlign val="subscript"/>
        <sz val="10"/>
        <rFont val="Arial Cyr"/>
        <charset val="204"/>
      </rPr>
      <t>k</t>
    </r>
    <r>
      <rPr>
        <sz val="10"/>
        <rFont val="Arial Cyr"/>
        <charset val="204"/>
      </rPr>
      <t>=e</t>
    </r>
    <r>
      <rPr>
        <vertAlign val="subscript"/>
        <sz val="10"/>
        <rFont val="Arial Cyr"/>
        <charset val="204"/>
      </rPr>
      <t>k+1</t>
    </r>
    <r>
      <rPr>
        <sz val="10"/>
        <rFont val="Arial Cyr"/>
        <charset val="204"/>
      </rPr>
      <t>/(e</t>
    </r>
    <r>
      <rPr>
        <vertAlign val="subscript"/>
        <sz val="10"/>
        <rFont val="Arial Cyr"/>
        <charset val="204"/>
      </rPr>
      <t>k</t>
    </r>
    <r>
      <rPr>
        <sz val="10"/>
        <rFont val="Arial Cyr"/>
        <charset val="204"/>
      </rPr>
      <t>)^sigma = abs(X</t>
    </r>
    <r>
      <rPr>
        <vertAlign val="superscript"/>
        <sz val="10"/>
        <rFont val="Arial Cyr"/>
        <charset val="204"/>
      </rPr>
      <t>*</t>
    </r>
    <r>
      <rPr>
        <sz val="10"/>
        <rFont val="Arial Cyr"/>
        <charset val="204"/>
      </rPr>
      <t>-X</t>
    </r>
    <r>
      <rPr>
        <vertAlign val="subscript"/>
        <sz val="10"/>
        <rFont val="Arial Cyr"/>
        <charset val="204"/>
      </rPr>
      <t>k+1</t>
    </r>
    <r>
      <rPr>
        <sz val="10"/>
        <rFont val="Arial Cyr"/>
        <charset val="204"/>
      </rPr>
      <t>)/abs(X*-Xk)^sigma</t>
    </r>
  </si>
  <si>
    <r>
      <t>abs(A</t>
    </r>
    <r>
      <rPr>
        <vertAlign val="subscript"/>
        <sz val="10"/>
        <rFont val="Arial Cyr"/>
        <charset val="204"/>
      </rPr>
      <t>k</t>
    </r>
    <r>
      <rPr>
        <sz val="10"/>
        <rFont val="Arial Cyr"/>
        <charset val="204"/>
      </rPr>
      <t>-A</t>
    </r>
    <r>
      <rPr>
        <vertAlign val="subscript"/>
        <sz val="10"/>
        <rFont val="Arial Cyr"/>
        <charset val="204"/>
      </rPr>
      <t>k+1</t>
    </r>
    <r>
      <rPr>
        <sz val="10"/>
        <rFont val="Arial Cyr"/>
        <charset val="204"/>
      </rPr>
      <t>)</t>
    </r>
  </si>
  <si>
    <t>Error: ek = abs(X*-Xk)</t>
  </si>
  <si>
    <t>The Results of the Investigation of the Convergence Rate of the Even Search Method</t>
  </si>
  <si>
    <t>Conclusion is made automatically: Even Search method has Superlinear Speed of convergence because the sequence {abs(X*-Xk+1)/abs(X*-Xk)^sigma} converge to Limit Value of Asymptotic Error Constant A = 0.815958534667162 only at SIGMA = 1.05</t>
  </si>
  <si>
    <r>
      <rPr>
        <b/>
        <sz val="10"/>
        <rFont val="Arial Cyr"/>
      </rPr>
      <t>Guide to use the program to measure an elapsed time by criterion "Tolearnce":</t>
    </r>
    <r>
      <rPr>
        <sz val="10"/>
        <rFont val="Arial Cyr"/>
        <charset val="204"/>
      </rPr>
      <t xml:space="preserve">
To measure the elapsed time of the program for solving the optimization problem by the ESM method with respect to the </t>
    </r>
    <r>
      <rPr>
        <b/>
        <sz val="10"/>
        <color rgb="FFFF0000"/>
        <rFont val="Arial Cyr"/>
      </rPr>
      <t>Tolerance criterion</t>
    </r>
    <r>
      <rPr>
        <sz val="10"/>
        <rFont val="Arial Cyr"/>
        <charset val="204"/>
      </rPr>
      <t xml:space="preserve">, it is necessary to carry out following actions:
1) Select: File/Options/Formulas. 
2) Set the content of the ListBox "Maximum Iterations:" to figure "1".
3) Click "OK" on the below of the Excel Options sheet. It is important to valid working of the program to determine an elapsed time!
4) Set a desirable Tolerance figure in the cell sheet4!I6 by using corresponding combobox "Set the tolerance/Выбор допустимой погрешности".
   </t>
    </r>
    <r>
      <rPr>
        <b/>
        <sz val="10"/>
        <color rgb="FFFF0000"/>
        <rFont val="Arial Cyr"/>
      </rPr>
      <t>NB:</t>
    </r>
    <r>
      <rPr>
        <sz val="10"/>
        <rFont val="Arial Cyr"/>
        <charset val="204"/>
      </rPr>
      <t xml:space="preserve"> Be attentive when you setting the Tolerance figure for ESM. 
At Tolerance figure=0.001 the elapsed time will be 976 seconds or 17 minutes! 
Are you ready to wait for the so long time!!!
5) Click to button "</t>
    </r>
    <r>
      <rPr>
        <b/>
        <sz val="10"/>
        <color rgb="FFFF0000"/>
        <rFont val="Arial Cyr"/>
      </rPr>
      <t>Elapsed time for given Tolerance</t>
    </r>
    <r>
      <rPr>
        <sz val="10"/>
        <rFont val="Arial Cyr"/>
        <charset val="204"/>
      </rPr>
      <t>" . 
When the program is finished, you can see the report in cell K18.</t>
    </r>
  </si>
  <si>
    <t>Parameters of the Market Models for laboratory works in Methods of Optimization</t>
  </si>
  <si>
    <t>Table 1: List of Market Models parameters among students</t>
  </si>
  <si>
    <t>It is a sample</t>
  </si>
  <si>
    <t xml:space="preserve"> ElapsedTime (in sec) = 0,53125 for selected tolerance = 0,1 and number of iterations = 20</t>
  </si>
  <si>
    <t xml:space="preserve"> ElapsedTime (in sec) = 0,296875 for selected tolerance = 0,1 and number of iterations = 6</t>
  </si>
  <si>
    <t>Name of students from class SE-22</t>
  </si>
  <si>
    <t>из ПИангл-1-22</t>
  </si>
  <si>
    <t>Абдираимова Элнура</t>
  </si>
  <si>
    <t>Бактыбеков Дастан</t>
  </si>
  <si>
    <t>Бектурсунова Айжамал</t>
  </si>
  <si>
    <t>Дамирбек у Долонбек</t>
  </si>
  <si>
    <t>Жолдошов Арстанбек</t>
  </si>
  <si>
    <t xml:space="preserve">Ибрагимова Бегимай </t>
  </si>
  <si>
    <t>Ибраимов Рустэм</t>
  </si>
  <si>
    <t>Кенешова Айтенира</t>
  </si>
  <si>
    <t>Койчуманов Темирлан</t>
  </si>
  <si>
    <t>Кубатова Арууке</t>
  </si>
  <si>
    <t>Мирбек Асель</t>
  </si>
  <si>
    <t>Муканбаева Аэлита</t>
  </si>
  <si>
    <t>Русланова Бермет</t>
  </si>
  <si>
    <t>Турдугулова Бермет</t>
  </si>
  <si>
    <t>Эркинбеков Тилек</t>
  </si>
  <si>
    <t>из ПИангл-2-22</t>
  </si>
  <si>
    <t>Аламанова Алтынай</t>
  </si>
  <si>
    <t>Асанбек у. Рысбек</t>
  </si>
  <si>
    <t>Бейшебаева Жанара</t>
  </si>
  <si>
    <t>Джолоев Азат</t>
  </si>
  <si>
    <t>Иманалиева Кундуз</t>
  </si>
  <si>
    <t>Исаева Адинай</t>
  </si>
  <si>
    <t>Исаков Артур</t>
  </si>
  <si>
    <t>Кадырова Айданек</t>
  </si>
  <si>
    <t>Каныбекова Айнура</t>
  </si>
  <si>
    <t>Накыпов Эрмек</t>
  </si>
  <si>
    <t>Оморали у Нурзаман</t>
  </si>
  <si>
    <t>Русалиев Рустам</t>
  </si>
  <si>
    <t>Сагынбеков Арсен</t>
  </si>
  <si>
    <t>Сулайманов Эрлик</t>
  </si>
  <si>
    <t>Токтоназаров Дениз</t>
  </si>
  <si>
    <t>Кыюм Абдул Али Лякат</t>
  </si>
  <si>
    <t xml:space="preserve"> </t>
  </si>
  <si>
    <t>Таблица 3.1 Зависимость Количества итераций от Допустимой погрешности</t>
  </si>
  <si>
    <t>Таблица 3.2  Зависимость Количества итераций от Начальной цены.</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</si>
</sst>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E+00"/>
    <numFmt numFmtId="166" formatCode="#,##0.000000"/>
    <numFmt numFmtId="167" formatCode="0.000000E+00"/>
  </numFmts>
  <fonts count="41" x14ac:knownFonts="1">
    <font>
      <sz val="10"/>
      <name val="Arial Cyr"/>
      <charset val="204"/>
    </font>
    <font>
      <sz val="10"/>
      <name val="Arial Cyr"/>
      <charset val="204"/>
    </font>
    <font>
      <sz val="8"/>
      <name val="Arial Cyr"/>
      <charset val="204"/>
    </font>
    <font>
      <b/>
      <sz val="10"/>
      <name val="Arial Cyr"/>
      <charset val="204"/>
    </font>
    <font>
      <b/>
      <i/>
      <sz val="14"/>
      <name val="Arial Cyr"/>
      <charset val="204"/>
    </font>
    <font>
      <sz val="8"/>
      <color indexed="81"/>
      <name val="Tahoma"/>
      <family val="2"/>
      <charset val="204"/>
    </font>
    <font>
      <b/>
      <sz val="8"/>
      <color indexed="81"/>
      <name val="Tahoma"/>
      <family val="2"/>
      <charset val="204"/>
    </font>
    <font>
      <b/>
      <sz val="12"/>
      <name val="Arial Cyr"/>
      <charset val="204"/>
    </font>
    <font>
      <b/>
      <sz val="10"/>
      <name val="Arial"/>
      <family val="2"/>
      <charset val="204"/>
    </font>
    <font>
      <b/>
      <vertAlign val="superscript"/>
      <sz val="10"/>
      <name val="Arial"/>
      <family val="2"/>
      <charset val="204"/>
    </font>
    <font>
      <b/>
      <sz val="10"/>
      <name val="Arial"/>
      <family val="2"/>
      <charset val="204"/>
    </font>
    <font>
      <sz val="8"/>
      <name val="Arial"/>
      <family val="2"/>
      <charset val="204"/>
    </font>
    <font>
      <b/>
      <sz val="8"/>
      <name val="Arial Cyr"/>
      <charset val="204"/>
    </font>
    <font>
      <b/>
      <sz val="8"/>
      <name val="Arial"/>
      <family val="2"/>
    </font>
    <font>
      <sz val="10"/>
      <name val="Arial"/>
      <family val="2"/>
      <charset val="204"/>
    </font>
    <font>
      <vertAlign val="subscript"/>
      <sz val="8"/>
      <name val="Arial Cyr"/>
      <charset val="204"/>
    </font>
    <font>
      <sz val="10"/>
      <color indexed="10"/>
      <name val="Arial"/>
      <family val="2"/>
      <charset val="204"/>
    </font>
    <font>
      <sz val="10"/>
      <color theme="0" tint="-0.14999847407452621"/>
      <name val="Arial"/>
      <family val="2"/>
    </font>
    <font>
      <vertAlign val="subscript"/>
      <sz val="10"/>
      <name val="Arial"/>
      <family val="2"/>
      <charset val="204"/>
    </font>
    <font>
      <sz val="12"/>
      <name val="Arial"/>
      <family val="2"/>
    </font>
    <font>
      <vertAlign val="subscript"/>
      <sz val="12"/>
      <name val="Arial"/>
      <family val="2"/>
    </font>
    <font>
      <vertAlign val="superscript"/>
      <sz val="12"/>
      <name val="Arial"/>
      <family val="2"/>
    </font>
    <font>
      <b/>
      <sz val="9"/>
      <color indexed="81"/>
      <name val="Tahoma"/>
      <family val="2"/>
    </font>
    <font>
      <sz val="9"/>
      <color indexed="81"/>
      <name val="Tahoma"/>
      <family val="2"/>
    </font>
    <font>
      <sz val="10"/>
      <color rgb="FF000000"/>
      <name val="Arial Cyr"/>
    </font>
    <font>
      <sz val="9"/>
      <color indexed="81"/>
      <name val="Tahoma"/>
      <family val="2"/>
      <charset val="204"/>
    </font>
    <font>
      <b/>
      <sz val="9"/>
      <color indexed="81"/>
      <name val="Tahoma"/>
      <family val="2"/>
      <charset val="204"/>
    </font>
    <font>
      <sz val="10"/>
      <name val="Arial Cyr"/>
    </font>
    <font>
      <b/>
      <i/>
      <sz val="9"/>
      <color indexed="81"/>
      <name val="Tahoma"/>
      <family val="2"/>
      <charset val="204"/>
    </font>
    <font>
      <b/>
      <i/>
      <sz val="10"/>
      <name val="Arial Cyr"/>
    </font>
    <font>
      <sz val="10"/>
      <color rgb="FFFF0000"/>
      <name val="Arial Cyr"/>
      <charset val="204"/>
    </font>
    <font>
      <vertAlign val="subscript"/>
      <sz val="10"/>
      <name val="Arial Cyr"/>
      <charset val="204"/>
    </font>
    <font>
      <vertAlign val="superscript"/>
      <sz val="10"/>
      <name val="Arial Cyr"/>
      <charset val="204"/>
    </font>
    <font>
      <sz val="10"/>
      <name val="Arial"/>
      <family val="2"/>
    </font>
    <font>
      <sz val="12"/>
      <name val="Calibri"/>
      <family val="2"/>
      <scheme val="minor"/>
    </font>
    <font>
      <b/>
      <sz val="10"/>
      <name val="Arial Cyr"/>
    </font>
    <font>
      <b/>
      <sz val="10"/>
      <color rgb="FFFF0000"/>
      <name val="Arial Cyr"/>
    </font>
    <font>
      <sz val="10"/>
      <color rgb="FF000000"/>
      <name val="Arial"/>
      <family val="2"/>
      <charset val="204"/>
    </font>
    <font>
      <b/>
      <sz val="10"/>
      <name val="Arial"/>
      <family val="2"/>
    </font>
    <font>
      <b/>
      <sz val="10"/>
      <color theme="1"/>
      <name val="Arial"/>
      <family val="2"/>
      <charset val="204"/>
    </font>
    <font>
      <sz val="10"/>
      <color theme="1"/>
      <name val="Arial"/>
      <family val="2"/>
      <charset val="204"/>
    </font>
  </fonts>
  <fills count="11">
    <fill>
      <patternFill patternType="none"/>
    </fill>
    <fill>
      <patternFill patternType="gray125"/>
    </fill>
    <fill>
      <patternFill patternType="solid">
        <fgColor indexed="13"/>
        <bgColor indexed="64"/>
      </patternFill>
    </fill>
    <fill>
      <patternFill patternType="solid">
        <fgColor indexed="41"/>
        <bgColor indexed="64"/>
      </patternFill>
    </fill>
    <fill>
      <patternFill patternType="solid">
        <fgColor indexed="11"/>
        <bgColor indexed="64"/>
      </patternFill>
    </fill>
    <fill>
      <patternFill patternType="solid">
        <fgColor theme="0"/>
        <bgColor indexed="64"/>
      </patternFill>
    </fill>
    <fill>
      <patternFill patternType="solid">
        <fgColor rgb="FFFFC000"/>
        <bgColor indexed="64"/>
      </patternFill>
    </fill>
    <fill>
      <patternFill patternType="solid">
        <fgColor theme="5" tint="0.59999389629810485"/>
        <bgColor indexed="64"/>
      </patternFill>
    </fill>
    <fill>
      <patternFill patternType="solid">
        <fgColor rgb="FFFFFF00"/>
        <bgColor indexed="64"/>
      </patternFill>
    </fill>
    <fill>
      <patternFill patternType="solid">
        <fgColor rgb="FFD9D9D9"/>
        <bgColor rgb="FFD9D9D9"/>
      </patternFill>
    </fill>
    <fill>
      <patternFill patternType="solid">
        <fgColor rgb="FF00B050"/>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indexed="64"/>
      </left>
      <right style="thin">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diagonal/>
    </border>
    <border>
      <left style="thin">
        <color indexed="64"/>
      </left>
      <right style="thin">
        <color indexed="64"/>
      </right>
      <top/>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bottom style="medium">
        <color indexed="64"/>
      </bottom>
      <diagonal/>
    </border>
    <border>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diagonal/>
    </border>
    <border>
      <left style="thin">
        <color rgb="FF000000"/>
      </left>
      <right/>
      <top style="thin">
        <color rgb="FF000000"/>
      </top>
      <bottom style="thin">
        <color rgb="FF000000"/>
      </bottom>
      <diagonal/>
    </border>
    <border>
      <left/>
      <right style="thin">
        <color indexed="64"/>
      </right>
      <top style="thin">
        <color indexed="64"/>
      </top>
      <bottom style="thin">
        <color indexed="64"/>
      </bottom>
      <diagonal/>
    </border>
  </borders>
  <cellStyleXfs count="1">
    <xf numFmtId="0" fontId="0" fillId="0" borderId="0"/>
  </cellStyleXfs>
  <cellXfs count="151">
    <xf numFmtId="0" fontId="0" fillId="0" borderId="0" xfId="0"/>
    <xf numFmtId="0" fontId="0" fillId="0" borderId="1" xfId="0" applyBorder="1"/>
    <xf numFmtId="0" fontId="3" fillId="0" borderId="0" xfId="0" applyFont="1"/>
    <xf numFmtId="0" fontId="0" fillId="0" borderId="2" xfId="0" applyBorder="1"/>
    <xf numFmtId="0" fontId="0" fillId="0" borderId="3" xfId="0" applyBorder="1"/>
    <xf numFmtId="0" fontId="0" fillId="0" borderId="4" xfId="0" applyBorder="1"/>
    <xf numFmtId="0" fontId="7" fillId="0" borderId="0" xfId="0" applyFont="1"/>
    <xf numFmtId="0" fontId="0" fillId="0" borderId="5" xfId="0" applyBorder="1" applyAlignment="1">
      <alignment wrapText="1"/>
    </xf>
    <xf numFmtId="0" fontId="0" fillId="0" borderId="6" xfId="0" applyBorder="1" applyAlignment="1">
      <alignment wrapText="1"/>
    </xf>
    <xf numFmtId="0" fontId="2" fillId="0" borderId="7" xfId="0" applyFont="1" applyBorder="1" applyAlignment="1">
      <alignment wrapText="1"/>
    </xf>
    <xf numFmtId="0" fontId="2" fillId="0" borderId="8" xfId="0" applyFont="1" applyBorder="1" applyAlignment="1">
      <alignment wrapText="1"/>
    </xf>
    <xf numFmtId="0" fontId="2" fillId="0" borderId="9" xfId="0" applyFont="1" applyBorder="1" applyAlignment="1">
      <alignment wrapText="1"/>
    </xf>
    <xf numFmtId="0" fontId="0" fillId="0" borderId="1" xfId="0" applyBorder="1" applyProtection="1">
      <protection locked="0"/>
    </xf>
    <xf numFmtId="0" fontId="0" fillId="0" borderId="0" xfId="0" applyProtection="1">
      <protection locked="0"/>
    </xf>
    <xf numFmtId="0" fontId="0" fillId="0" borderId="10" xfId="0" applyBorder="1" applyProtection="1">
      <protection locked="0"/>
    </xf>
    <xf numFmtId="0" fontId="0" fillId="0" borderId="11" xfId="0" applyBorder="1" applyProtection="1">
      <protection locked="0"/>
    </xf>
    <xf numFmtId="0" fontId="0" fillId="0" borderId="12" xfId="0" applyBorder="1" applyProtection="1">
      <protection locked="0"/>
    </xf>
    <xf numFmtId="0" fontId="0" fillId="0" borderId="5" xfId="0" applyBorder="1" applyProtection="1">
      <protection locked="0"/>
    </xf>
    <xf numFmtId="0" fontId="0" fillId="0" borderId="13" xfId="0" applyBorder="1" applyProtection="1">
      <protection locked="0"/>
    </xf>
    <xf numFmtId="0" fontId="0" fillId="0" borderId="6" xfId="0" applyBorder="1" applyProtection="1">
      <protection locked="0"/>
    </xf>
    <xf numFmtId="0" fontId="0" fillId="0" borderId="2" xfId="0" applyBorder="1" applyProtection="1">
      <protection locked="0"/>
    </xf>
    <xf numFmtId="0" fontId="0" fillId="0" borderId="14" xfId="0" applyBorder="1" applyProtection="1">
      <protection locked="0"/>
    </xf>
    <xf numFmtId="0" fontId="0" fillId="0" borderId="3" xfId="0" applyBorder="1" applyProtection="1">
      <protection locked="0"/>
    </xf>
    <xf numFmtId="0" fontId="0" fillId="0" borderId="4" xfId="0" applyBorder="1" applyProtection="1">
      <protection locked="0"/>
    </xf>
    <xf numFmtId="0" fontId="0" fillId="0" borderId="15" xfId="0" applyBorder="1" applyProtection="1">
      <protection locked="0"/>
    </xf>
    <xf numFmtId="0" fontId="8" fillId="0" borderId="0" xfId="0" applyFont="1"/>
    <xf numFmtId="0" fontId="0" fillId="0" borderId="5" xfId="0" applyBorder="1"/>
    <xf numFmtId="0" fontId="0" fillId="0" borderId="13" xfId="0" applyBorder="1"/>
    <xf numFmtId="0" fontId="0" fillId="0" borderId="6" xfId="0" applyBorder="1"/>
    <xf numFmtId="0" fontId="0" fillId="0" borderId="14" xfId="0" applyBorder="1"/>
    <xf numFmtId="0" fontId="0" fillId="0" borderId="16" xfId="0" applyBorder="1"/>
    <xf numFmtId="0" fontId="0" fillId="0" borderId="15" xfId="0" applyBorder="1"/>
    <xf numFmtId="0" fontId="0" fillId="0" borderId="17" xfId="0" applyBorder="1" applyAlignment="1">
      <alignment horizontal="center"/>
    </xf>
    <xf numFmtId="0" fontId="0" fillId="2" borderId="18" xfId="0" applyFill="1" applyBorder="1" applyAlignment="1">
      <alignment horizontal="center" vertical="center"/>
    </xf>
    <xf numFmtId="0" fontId="8" fillId="0" borderId="19" xfId="0" applyFont="1" applyBorder="1" applyAlignment="1">
      <alignment horizontal="center" vertical="center"/>
    </xf>
    <xf numFmtId="0" fontId="8" fillId="0" borderId="20" xfId="0" applyFont="1" applyBorder="1" applyAlignment="1">
      <alignment horizontal="center" vertical="center"/>
    </xf>
    <xf numFmtId="0" fontId="10" fillId="0" borderId="20" xfId="0" applyFont="1" applyBorder="1" applyAlignment="1">
      <alignment wrapText="1"/>
    </xf>
    <xf numFmtId="0" fontId="0" fillId="0" borderId="21" xfId="0" applyBorder="1"/>
    <xf numFmtId="0" fontId="0" fillId="0" borderId="22" xfId="0" applyBorder="1"/>
    <xf numFmtId="2" fontId="11" fillId="0" borderId="22" xfId="0" applyNumberFormat="1" applyFont="1" applyBorder="1"/>
    <xf numFmtId="2" fontId="11" fillId="0" borderId="1" xfId="0" applyNumberFormat="1" applyFont="1" applyBorder="1"/>
    <xf numFmtId="2" fontId="11" fillId="0" borderId="13" xfId="0" applyNumberFormat="1" applyFont="1" applyBorder="1"/>
    <xf numFmtId="2" fontId="11" fillId="0" borderId="4" xfId="0" applyNumberFormat="1" applyFont="1" applyBorder="1"/>
    <xf numFmtId="0" fontId="8" fillId="2" borderId="18" xfId="0" applyFont="1" applyFill="1" applyBorder="1" applyAlignment="1">
      <alignment horizontal="center" vertical="center"/>
    </xf>
    <xf numFmtId="1" fontId="0" fillId="0" borderId="1" xfId="0" applyNumberFormat="1" applyBorder="1" applyProtection="1">
      <protection locked="0"/>
    </xf>
    <xf numFmtId="1" fontId="0" fillId="0" borderId="13" xfId="0" applyNumberFormat="1" applyBorder="1" applyProtection="1">
      <protection locked="0"/>
    </xf>
    <xf numFmtId="1" fontId="0" fillId="0" borderId="4" xfId="0" applyNumberFormat="1" applyBorder="1" applyProtection="1">
      <protection locked="0"/>
    </xf>
    <xf numFmtId="1" fontId="0" fillId="0" borderId="12" xfId="0" applyNumberFormat="1" applyBorder="1" applyProtection="1">
      <protection locked="0"/>
    </xf>
    <xf numFmtId="0" fontId="0" fillId="0" borderId="23" xfId="0" applyBorder="1" applyProtection="1">
      <protection locked="0"/>
    </xf>
    <xf numFmtId="0" fontId="0" fillId="0" borderId="24" xfId="0" applyBorder="1" applyProtection="1">
      <protection locked="0"/>
    </xf>
    <xf numFmtId="165" fontId="0" fillId="2" borderId="20" xfId="0" applyNumberFormat="1" applyFill="1" applyBorder="1" applyProtection="1">
      <protection locked="0"/>
    </xf>
    <xf numFmtId="164" fontId="1" fillId="3" borderId="20" xfId="0" applyNumberFormat="1" applyFont="1" applyFill="1" applyBorder="1" applyAlignment="1">
      <alignment wrapText="1"/>
    </xf>
    <xf numFmtId="164" fontId="0" fillId="3" borderId="20" xfId="0" applyNumberFormat="1" applyFill="1" applyBorder="1"/>
    <xf numFmtId="165" fontId="0" fillId="3" borderId="20" xfId="0" applyNumberFormat="1" applyFill="1" applyBorder="1"/>
    <xf numFmtId="0" fontId="0" fillId="0" borderId="19" xfId="0" applyBorder="1"/>
    <xf numFmtId="164" fontId="0" fillId="0" borderId="20" xfId="0" applyNumberFormat="1" applyBorder="1"/>
    <xf numFmtId="0" fontId="0" fillId="0" borderId="27" xfId="0" applyBorder="1" applyProtection="1">
      <protection locked="0"/>
    </xf>
    <xf numFmtId="1" fontId="0" fillId="0" borderId="27" xfId="0" applyNumberFormat="1" applyBorder="1" applyProtection="1">
      <protection locked="0"/>
    </xf>
    <xf numFmtId="0" fontId="1" fillId="0" borderId="0" xfId="0" applyFont="1"/>
    <xf numFmtId="0" fontId="0" fillId="2" borderId="25" xfId="0" applyFill="1" applyBorder="1"/>
    <xf numFmtId="0" fontId="0" fillId="0" borderId="12" xfId="0" applyBorder="1"/>
    <xf numFmtId="0" fontId="0" fillId="0" borderId="27" xfId="0" applyBorder="1"/>
    <xf numFmtId="0" fontId="12" fillId="0" borderId="7" xfId="0" applyFont="1" applyBorder="1" applyAlignment="1" applyProtection="1">
      <alignment wrapText="1"/>
      <protection locked="0"/>
    </xf>
    <xf numFmtId="0" fontId="12" fillId="0" borderId="8" xfId="0" applyFont="1" applyBorder="1" applyAlignment="1" applyProtection="1">
      <alignment wrapText="1"/>
      <protection locked="0"/>
    </xf>
    <xf numFmtId="0" fontId="13" fillId="2" borderId="1" xfId="0" applyFont="1" applyFill="1" applyBorder="1"/>
    <xf numFmtId="11" fontId="13" fillId="2" borderId="1" xfId="0" applyNumberFormat="1" applyFont="1" applyFill="1" applyBorder="1"/>
    <xf numFmtId="0" fontId="2" fillId="2" borderId="1" xfId="0" applyFont="1" applyFill="1" applyBorder="1"/>
    <xf numFmtId="0" fontId="2" fillId="2" borderId="1" xfId="0" applyFont="1" applyFill="1" applyBorder="1" applyAlignment="1">
      <alignment horizontal="center"/>
    </xf>
    <xf numFmtId="166" fontId="2" fillId="2" borderId="1" xfId="0" applyNumberFormat="1" applyFont="1" applyFill="1" applyBorder="1" applyProtection="1">
      <protection hidden="1"/>
    </xf>
    <xf numFmtId="167" fontId="0" fillId="2" borderId="1" xfId="0" applyNumberFormat="1" applyFill="1" applyBorder="1" applyProtection="1">
      <protection hidden="1"/>
    </xf>
    <xf numFmtId="0" fontId="0" fillId="2" borderId="1" xfId="0" applyFill="1" applyBorder="1" applyProtection="1">
      <protection hidden="1"/>
    </xf>
    <xf numFmtId="0" fontId="0" fillId="4" borderId="29" xfId="0" applyFill="1" applyBorder="1"/>
    <xf numFmtId="0" fontId="8" fillId="4" borderId="26" xfId="0" applyFont="1" applyFill="1" applyBorder="1" applyAlignment="1">
      <alignment horizontal="center" vertical="center"/>
    </xf>
    <xf numFmtId="0" fontId="14" fillId="0" borderId="0" xfId="0" applyFont="1"/>
    <xf numFmtId="0" fontId="1" fillId="0" borderId="8" xfId="0" applyFont="1" applyBorder="1" applyAlignment="1">
      <alignment wrapText="1"/>
    </xf>
    <xf numFmtId="0" fontId="17" fillId="0" borderId="0" xfId="0" applyFont="1"/>
    <xf numFmtId="0" fontId="8" fillId="0" borderId="23" xfId="0" applyFont="1" applyBorder="1" applyAlignment="1">
      <alignment horizontal="center"/>
    </xf>
    <xf numFmtId="0" fontId="0" fillId="0" borderId="24" xfId="0" applyBorder="1"/>
    <xf numFmtId="0" fontId="0" fillId="0" borderId="25" xfId="0" applyBorder="1"/>
    <xf numFmtId="0" fontId="0" fillId="0" borderId="39" xfId="0" applyBorder="1"/>
    <xf numFmtId="0" fontId="8" fillId="0" borderId="2" xfId="0" applyFont="1" applyBorder="1" applyAlignment="1">
      <alignment horizontal="center"/>
    </xf>
    <xf numFmtId="0" fontId="0" fillId="0" borderId="40" xfId="0" applyBorder="1"/>
    <xf numFmtId="0" fontId="8" fillId="0" borderId="10" xfId="0" applyFont="1" applyBorder="1" applyAlignment="1">
      <alignment horizontal="center"/>
    </xf>
    <xf numFmtId="0" fontId="0" fillId="0" borderId="11" xfId="0" applyBorder="1"/>
    <xf numFmtId="0" fontId="0" fillId="0" borderId="41" xfId="0" applyBorder="1"/>
    <xf numFmtId="0" fontId="19" fillId="0" borderId="0" xfId="0" applyFont="1" applyAlignment="1">
      <alignment vertical="center" wrapText="1"/>
    </xf>
    <xf numFmtId="0" fontId="0" fillId="0" borderId="0" xfId="0" applyAlignment="1">
      <alignment vertical="center"/>
    </xf>
    <xf numFmtId="3" fontId="0" fillId="3" borderId="26" xfId="0" applyNumberFormat="1" applyFill="1" applyBorder="1"/>
    <xf numFmtId="0" fontId="0" fillId="0" borderId="0" xfId="0" applyAlignment="1" applyProtection="1">
      <alignment vertical="center" wrapText="1"/>
      <protection locked="0"/>
    </xf>
    <xf numFmtId="0" fontId="12" fillId="0" borderId="42" xfId="0" applyFont="1" applyBorder="1" applyAlignment="1" applyProtection="1">
      <alignment wrapText="1"/>
      <protection locked="0"/>
    </xf>
    <xf numFmtId="0" fontId="0" fillId="0" borderId="43" xfId="0" applyBorder="1" applyProtection="1">
      <protection locked="0"/>
    </xf>
    <xf numFmtId="0" fontId="0" fillId="0" borderId="44" xfId="0" applyBorder="1" applyProtection="1">
      <protection locked="0"/>
    </xf>
    <xf numFmtId="0" fontId="0" fillId="0" borderId="45" xfId="0" applyBorder="1" applyProtection="1">
      <protection locked="0"/>
    </xf>
    <xf numFmtId="3" fontId="0" fillId="6" borderId="46" xfId="0" applyNumberFormat="1" applyFill="1" applyBorder="1"/>
    <xf numFmtId="0" fontId="30" fillId="0" borderId="1" xfId="0" applyFont="1" applyBorder="1" applyAlignment="1">
      <alignment horizontal="center" vertical="center"/>
    </xf>
    <xf numFmtId="0" fontId="0" fillId="4" borderId="12" xfId="0" applyFill="1" applyBorder="1"/>
    <xf numFmtId="0" fontId="0" fillId="0" borderId="35" xfId="0" applyBorder="1"/>
    <xf numFmtId="0" fontId="0" fillId="2" borderId="19" xfId="0" applyFill="1" applyBorder="1" applyAlignment="1">
      <alignment horizontal="center" vertical="center" wrapText="1"/>
    </xf>
    <xf numFmtId="0" fontId="0" fillId="2" borderId="20" xfId="0" applyFill="1" applyBorder="1" applyAlignment="1">
      <alignment horizontal="center" vertical="center" wrapText="1"/>
    </xf>
    <xf numFmtId="0" fontId="0" fillId="2" borderId="26" xfId="0" applyFill="1" applyBorder="1" applyAlignment="1">
      <alignment horizontal="center" vertical="center" wrapText="1"/>
    </xf>
    <xf numFmtId="0" fontId="33" fillId="0" borderId="38" xfId="0" applyFont="1" applyBorder="1" applyAlignment="1">
      <alignment horizontal="center"/>
    </xf>
    <xf numFmtId="0" fontId="33" fillId="0" borderId="28" xfId="0" applyFont="1" applyBorder="1" applyAlignment="1">
      <alignment horizontal="center"/>
    </xf>
    <xf numFmtId="0" fontId="0" fillId="8" borderId="47" xfId="0" applyFill="1" applyBorder="1" applyAlignment="1">
      <alignment horizontal="center" vertical="center" wrapText="1"/>
    </xf>
    <xf numFmtId="0" fontId="0" fillId="8" borderId="20" xfId="0" applyFill="1" applyBorder="1" applyAlignment="1">
      <alignment horizontal="center" vertical="center" wrapText="1"/>
    </xf>
    <xf numFmtId="0" fontId="0" fillId="0" borderId="0" xfId="0" applyAlignment="1">
      <alignment vertical="center" wrapText="1"/>
    </xf>
    <xf numFmtId="0" fontId="38" fillId="0" borderId="0" xfId="0" applyFont="1"/>
    <xf numFmtId="0" fontId="12" fillId="0" borderId="7" xfId="0" applyFont="1" applyBorder="1" applyAlignment="1">
      <alignment horizontal="center" vertical="center" wrapText="1"/>
    </xf>
    <xf numFmtId="0" fontId="2" fillId="0" borderId="8" xfId="0" applyFont="1" applyBorder="1" applyAlignment="1">
      <alignment horizontal="center" vertical="center" wrapText="1"/>
    </xf>
    <xf numFmtId="0" fontId="2" fillId="0" borderId="9" xfId="0" applyFont="1" applyBorder="1" applyAlignment="1">
      <alignment horizontal="center" vertical="center" wrapText="1"/>
    </xf>
    <xf numFmtId="11" fontId="0" fillId="0" borderId="1" xfId="0" applyNumberFormat="1" applyBorder="1"/>
    <xf numFmtId="166" fontId="1" fillId="0" borderId="1" xfId="0" applyNumberFormat="1" applyFont="1" applyBorder="1" applyProtection="1">
      <protection hidden="1"/>
    </xf>
    <xf numFmtId="167" fontId="1" fillId="0" borderId="1" xfId="0" applyNumberFormat="1" applyFont="1" applyBorder="1" applyProtection="1">
      <protection hidden="1"/>
    </xf>
    <xf numFmtId="0" fontId="0" fillId="0" borderId="1" xfId="0" applyBorder="1" applyProtection="1">
      <protection hidden="1"/>
    </xf>
    <xf numFmtId="0" fontId="39" fillId="9" borderId="50" xfId="0" applyFont="1" applyFill="1" applyBorder="1" applyAlignment="1">
      <alignment horizontal="center" wrapText="1"/>
    </xf>
    <xf numFmtId="0" fontId="40" fillId="0" borderId="50" xfId="0" applyFont="1" applyBorder="1"/>
    <xf numFmtId="0" fontId="0" fillId="5" borderId="1" xfId="0" applyFill="1" applyBorder="1" applyAlignment="1">
      <alignment vertical="center"/>
    </xf>
    <xf numFmtId="0" fontId="19" fillId="0" borderId="30" xfId="0" applyFont="1" applyBorder="1" applyAlignment="1">
      <alignment horizontal="center" vertical="center" wrapText="1"/>
    </xf>
    <xf numFmtId="0" fontId="19" fillId="0" borderId="31" xfId="0" applyFont="1" applyBorder="1" applyAlignment="1">
      <alignment horizontal="center" vertical="center" wrapText="1"/>
    </xf>
    <xf numFmtId="0" fontId="19" fillId="0" borderId="32" xfId="0" applyFont="1" applyBorder="1" applyAlignment="1">
      <alignment horizontal="center" vertical="center" wrapText="1"/>
    </xf>
    <xf numFmtId="0" fontId="19" fillId="0" borderId="33" xfId="0" applyFont="1" applyBorder="1" applyAlignment="1">
      <alignment horizontal="center" vertical="center" wrapText="1"/>
    </xf>
    <xf numFmtId="0" fontId="19" fillId="0" borderId="0" xfId="0" applyFont="1" applyAlignment="1">
      <alignment horizontal="center" vertical="center" wrapText="1"/>
    </xf>
    <xf numFmtId="0" fontId="19" fillId="0" borderId="34" xfId="0" applyFont="1" applyBorder="1" applyAlignment="1">
      <alignment horizontal="center" vertical="center" wrapText="1"/>
    </xf>
    <xf numFmtId="0" fontId="19" fillId="0" borderId="35" xfId="0" applyFont="1" applyBorder="1" applyAlignment="1">
      <alignment horizontal="center" vertical="center" wrapText="1"/>
    </xf>
    <xf numFmtId="0" fontId="19" fillId="0" borderId="36" xfId="0" applyFont="1" applyBorder="1" applyAlignment="1">
      <alignment horizontal="center" vertical="center" wrapText="1"/>
    </xf>
    <xf numFmtId="0" fontId="19" fillId="0" borderId="37" xfId="0" applyFont="1" applyBorder="1" applyAlignment="1">
      <alignment horizontal="center" vertical="center" wrapText="1"/>
    </xf>
    <xf numFmtId="0" fontId="34" fillId="0" borderId="30" xfId="0" applyFont="1" applyBorder="1" applyAlignment="1" applyProtection="1">
      <alignment horizontal="center" wrapText="1"/>
      <protection locked="0"/>
    </xf>
    <xf numFmtId="0" fontId="34" fillId="0" borderId="31" xfId="0" applyFont="1" applyBorder="1" applyAlignment="1" applyProtection="1">
      <alignment horizontal="center" wrapText="1"/>
      <protection locked="0"/>
    </xf>
    <xf numFmtId="0" fontId="34" fillId="0" borderId="48" xfId="0" applyFont="1" applyBorder="1" applyAlignment="1" applyProtection="1">
      <alignment horizontal="center" wrapText="1"/>
      <protection locked="0"/>
    </xf>
    <xf numFmtId="0" fontId="34" fillId="0" borderId="33" xfId="0" applyFont="1" applyBorder="1" applyAlignment="1" applyProtection="1">
      <alignment horizontal="center" wrapText="1"/>
      <protection locked="0"/>
    </xf>
    <xf numFmtId="0" fontId="34" fillId="0" borderId="0" xfId="0" applyFont="1" applyAlignment="1" applyProtection="1">
      <alignment horizontal="center" wrapText="1"/>
      <protection locked="0"/>
    </xf>
    <xf numFmtId="0" fontId="34" fillId="0" borderId="49" xfId="0" applyFont="1" applyBorder="1" applyAlignment="1" applyProtection="1">
      <alignment horizontal="center" wrapText="1"/>
      <protection locked="0"/>
    </xf>
    <xf numFmtId="0" fontId="34" fillId="0" borderId="35" xfId="0" applyFont="1" applyBorder="1" applyAlignment="1" applyProtection="1">
      <alignment horizontal="center" wrapText="1"/>
      <protection locked="0"/>
    </xf>
    <xf numFmtId="0" fontId="34" fillId="0" borderId="36" xfId="0" applyFont="1" applyBorder="1" applyAlignment="1" applyProtection="1">
      <alignment horizontal="center" wrapText="1"/>
      <protection locked="0"/>
    </xf>
    <xf numFmtId="0" fontId="34" fillId="0" borderId="38" xfId="0" applyFont="1" applyBorder="1" applyAlignment="1" applyProtection="1">
      <alignment horizontal="center" wrapText="1"/>
      <protection locked="0"/>
    </xf>
    <xf numFmtId="0" fontId="0" fillId="6" borderId="1" xfId="0" applyFill="1" applyBorder="1" applyAlignment="1" applyProtection="1">
      <alignment horizontal="center" vertical="center" wrapText="1"/>
      <protection locked="0"/>
    </xf>
    <xf numFmtId="0" fontId="27" fillId="6" borderId="1" xfId="0" applyFont="1" applyFill="1" applyBorder="1" applyAlignment="1">
      <alignment horizontal="center" wrapText="1"/>
    </xf>
    <xf numFmtId="0" fontId="0" fillId="7" borderId="1" xfId="0" applyFill="1" applyBorder="1" applyAlignment="1" applyProtection="1">
      <alignment horizontal="center" vertical="center" wrapText="1"/>
      <protection locked="0"/>
    </xf>
    <xf numFmtId="0" fontId="0" fillId="7" borderId="1" xfId="0" applyFill="1" applyBorder="1" applyAlignment="1">
      <alignment horizontal="center" wrapText="1"/>
    </xf>
    <xf numFmtId="0" fontId="27" fillId="0" borderId="1" xfId="0" applyFont="1" applyBorder="1" applyAlignment="1">
      <alignment horizontal="left" vertical="center" wrapText="1"/>
    </xf>
    <xf numFmtId="0" fontId="0" fillId="10" borderId="1" xfId="0" applyFill="1" applyBorder="1"/>
    <xf numFmtId="11" fontId="0" fillId="10" borderId="1" xfId="0" applyNumberFormat="1" applyFill="1" applyBorder="1"/>
    <xf numFmtId="0" fontId="40" fillId="10" borderId="50" xfId="0" applyFont="1" applyFill="1" applyBorder="1"/>
    <xf numFmtId="166" fontId="1" fillId="10" borderId="1" xfId="0" applyNumberFormat="1" applyFont="1" applyFill="1" applyBorder="1" applyProtection="1">
      <protection hidden="1"/>
    </xf>
    <xf numFmtId="167" fontId="1" fillId="10" borderId="1" xfId="0" applyNumberFormat="1" applyFont="1" applyFill="1" applyBorder="1" applyProtection="1">
      <protection hidden="1"/>
    </xf>
    <xf numFmtId="0" fontId="0" fillId="10" borderId="1" xfId="0" applyFill="1" applyBorder="1" applyProtection="1">
      <protection hidden="1"/>
    </xf>
    <xf numFmtId="0" fontId="0" fillId="0" borderId="8" xfId="0" applyBorder="1" applyProtection="1">
      <protection locked="0"/>
    </xf>
    <xf numFmtId="0" fontId="0" fillId="0" borderId="44" xfId="0" applyBorder="1"/>
    <xf numFmtId="1" fontId="0" fillId="0" borderId="51" xfId="0" applyNumberFormat="1" applyBorder="1" applyProtection="1">
      <protection locked="0"/>
    </xf>
    <xf numFmtId="0" fontId="0" fillId="0" borderId="0" xfId="0" applyFont="1" applyFill="1" applyBorder="1" applyAlignment="1">
      <alignment wrapText="1"/>
    </xf>
    <xf numFmtId="0" fontId="12" fillId="0" borderId="9" xfId="0" applyFont="1" applyBorder="1" applyAlignment="1" applyProtection="1">
      <alignment wrapText="1"/>
      <protection locked="0"/>
    </xf>
    <xf numFmtId="0" fontId="0" fillId="0" borderId="18" xfId="0" applyBorder="1" applyProtection="1">
      <protection locked="0"/>
    </xf>
  </cellXfs>
  <cellStyles count="1">
    <cellStyle name="Обычный" xfId="0" builtinId="0"/>
  </cellStyles>
  <dxfs count="10">
    <dxf>
      <fill>
        <patternFill>
          <bgColor indexed="11"/>
        </patternFill>
      </fill>
    </dxf>
    <dxf>
      <fill>
        <patternFill>
          <bgColor indexed="26"/>
        </patternFill>
      </fill>
    </dxf>
    <dxf>
      <fill>
        <patternFill>
          <bgColor indexed="11"/>
        </patternFill>
      </fill>
    </dxf>
    <dxf>
      <fill>
        <patternFill>
          <bgColor indexed="26"/>
        </patternFill>
      </fill>
    </dxf>
    <dxf>
      <fill>
        <patternFill>
          <bgColor indexed="26"/>
        </patternFill>
      </fill>
    </dxf>
    <dxf>
      <fill>
        <patternFill>
          <bgColor rgb="FF92D050"/>
        </patternFill>
      </fill>
    </dxf>
    <dxf>
      <fill>
        <patternFill>
          <bgColor indexed="11"/>
        </patternFill>
      </fill>
    </dxf>
    <dxf>
      <fill>
        <patternFill>
          <bgColor indexed="11"/>
        </patternFill>
      </fill>
    </dxf>
    <dxf>
      <fill>
        <patternFill>
          <bgColor indexed="11"/>
        </patternFill>
      </fill>
    </dxf>
    <dxf>
      <fill>
        <patternFill>
          <bgColor indexed="27"/>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Figure 1. Graph of function Y=f(x)</a:t>
            </a:r>
          </a:p>
        </c:rich>
      </c:tx>
      <c:layout>
        <c:manualLayout>
          <c:xMode val="edge"/>
          <c:yMode val="edge"/>
          <c:x val="0.28798586572438162"/>
          <c:y val="3.0732860520094562E-2"/>
        </c:manualLayout>
      </c:layout>
      <c:overlay val="0"/>
      <c:spPr>
        <a:noFill/>
        <a:ln w="25400">
          <a:noFill/>
        </a:ln>
      </c:spPr>
    </c:title>
    <c:autoTitleDeleted val="0"/>
    <c:plotArea>
      <c:layout>
        <c:manualLayout>
          <c:layoutTarget val="inner"/>
          <c:xMode val="edge"/>
          <c:yMode val="edge"/>
          <c:x val="0.11130742049469965"/>
          <c:y val="0.16548501561811008"/>
          <c:w val="0.86395759717314491"/>
          <c:h val="0.67376042073087672"/>
        </c:manualLayout>
      </c:layout>
      <c:lineChart>
        <c:grouping val="standard"/>
        <c:varyColors val="0"/>
        <c:ser>
          <c:idx val="0"/>
          <c:order val="0"/>
          <c:spPr>
            <a:ln w="12700">
              <a:solidFill>
                <a:srgbClr val="000080"/>
              </a:solidFill>
              <a:prstDash val="solid"/>
            </a:ln>
          </c:spPr>
          <c:marker>
            <c:symbol val="diamond"/>
            <c:size val="5"/>
            <c:spPr>
              <a:solidFill>
                <a:srgbClr val="000080"/>
              </a:solidFill>
              <a:ln>
                <a:solidFill>
                  <a:srgbClr val="000080"/>
                </a:solidFill>
                <a:prstDash val="solid"/>
              </a:ln>
            </c:spPr>
          </c:marker>
          <c:cat>
            <c:numRef>
              <c:f>sheet2!$J$5:$J$104</c:f>
              <c:numCache>
                <c:formatCode>General</c:formatCode>
                <c:ptCount val="100"/>
                <c:pt idx="0">
                  <c:v>1</c:v>
                </c:pt>
                <c:pt idx="1">
                  <c:v>1.0049999999999999</c:v>
                </c:pt>
                <c:pt idx="2">
                  <c:v>1.0099999999999998</c:v>
                </c:pt>
                <c:pt idx="3">
                  <c:v>1.0149999999999997</c:v>
                </c:pt>
                <c:pt idx="4">
                  <c:v>1.0199999999999996</c:v>
                </c:pt>
                <c:pt idx="5">
                  <c:v>1.0249999999999995</c:v>
                </c:pt>
                <c:pt idx="6">
                  <c:v>1.0299999999999994</c:v>
                </c:pt>
                <c:pt idx="7">
                  <c:v>1.0349999999999993</c:v>
                </c:pt>
                <c:pt idx="8">
                  <c:v>1.0399999999999991</c:v>
                </c:pt>
                <c:pt idx="9">
                  <c:v>1.044999999999999</c:v>
                </c:pt>
                <c:pt idx="10">
                  <c:v>1.0499999999999989</c:v>
                </c:pt>
                <c:pt idx="11">
                  <c:v>1.0549999999999988</c:v>
                </c:pt>
                <c:pt idx="12">
                  <c:v>1.0599999999999987</c:v>
                </c:pt>
                <c:pt idx="13">
                  <c:v>1.0649999999999986</c:v>
                </c:pt>
                <c:pt idx="14">
                  <c:v>1.0699999999999985</c:v>
                </c:pt>
                <c:pt idx="15">
                  <c:v>1.0749999999999984</c:v>
                </c:pt>
                <c:pt idx="16">
                  <c:v>1.0799999999999983</c:v>
                </c:pt>
                <c:pt idx="17">
                  <c:v>1.0849999999999982</c:v>
                </c:pt>
                <c:pt idx="18">
                  <c:v>1.0899999999999981</c:v>
                </c:pt>
                <c:pt idx="19">
                  <c:v>1.094999999999998</c:v>
                </c:pt>
                <c:pt idx="20">
                  <c:v>1.0999999999999979</c:v>
                </c:pt>
                <c:pt idx="21">
                  <c:v>1.1049999999999978</c:v>
                </c:pt>
                <c:pt idx="22">
                  <c:v>1.1099999999999977</c:v>
                </c:pt>
                <c:pt idx="23">
                  <c:v>1.1149999999999975</c:v>
                </c:pt>
                <c:pt idx="24">
                  <c:v>1.1199999999999974</c:v>
                </c:pt>
                <c:pt idx="25">
                  <c:v>1.1249999999999973</c:v>
                </c:pt>
                <c:pt idx="26">
                  <c:v>1.1299999999999972</c:v>
                </c:pt>
                <c:pt idx="27">
                  <c:v>1.1349999999999971</c:v>
                </c:pt>
                <c:pt idx="28">
                  <c:v>1.139999999999997</c:v>
                </c:pt>
                <c:pt idx="29">
                  <c:v>1.1449999999999969</c:v>
                </c:pt>
                <c:pt idx="30">
                  <c:v>1.1499999999999968</c:v>
                </c:pt>
                <c:pt idx="31">
                  <c:v>1.1549999999999967</c:v>
                </c:pt>
                <c:pt idx="32">
                  <c:v>1.1599999999999966</c:v>
                </c:pt>
                <c:pt idx="33">
                  <c:v>1.1649999999999965</c:v>
                </c:pt>
                <c:pt idx="34">
                  <c:v>1.1699999999999964</c:v>
                </c:pt>
                <c:pt idx="35">
                  <c:v>1.1749999999999963</c:v>
                </c:pt>
                <c:pt idx="36">
                  <c:v>1.1799999999999962</c:v>
                </c:pt>
                <c:pt idx="37">
                  <c:v>1.1849999999999961</c:v>
                </c:pt>
                <c:pt idx="38">
                  <c:v>1.1899999999999959</c:v>
                </c:pt>
                <c:pt idx="39">
                  <c:v>1.1949999999999958</c:v>
                </c:pt>
                <c:pt idx="40">
                  <c:v>1.1999999999999957</c:v>
                </c:pt>
                <c:pt idx="41">
                  <c:v>1.2049999999999956</c:v>
                </c:pt>
                <c:pt idx="42">
                  <c:v>1.2099999999999955</c:v>
                </c:pt>
                <c:pt idx="43">
                  <c:v>1.2149999999999954</c:v>
                </c:pt>
                <c:pt idx="44">
                  <c:v>1.2199999999999953</c:v>
                </c:pt>
                <c:pt idx="45">
                  <c:v>1.2249999999999952</c:v>
                </c:pt>
                <c:pt idx="46">
                  <c:v>1.2299999999999951</c:v>
                </c:pt>
                <c:pt idx="47">
                  <c:v>1.234999999999995</c:v>
                </c:pt>
                <c:pt idx="48">
                  <c:v>1.2399999999999949</c:v>
                </c:pt>
                <c:pt idx="49">
                  <c:v>1.2449999999999948</c:v>
                </c:pt>
                <c:pt idx="50">
                  <c:v>1.2499999999999947</c:v>
                </c:pt>
                <c:pt idx="51">
                  <c:v>1.2549999999999946</c:v>
                </c:pt>
                <c:pt idx="52">
                  <c:v>1.2599999999999945</c:v>
                </c:pt>
                <c:pt idx="53">
                  <c:v>1.2649999999999944</c:v>
                </c:pt>
                <c:pt idx="54">
                  <c:v>1.2699999999999942</c:v>
                </c:pt>
                <c:pt idx="55">
                  <c:v>1.2749999999999941</c:v>
                </c:pt>
                <c:pt idx="56">
                  <c:v>1.279999999999994</c:v>
                </c:pt>
                <c:pt idx="57">
                  <c:v>1.2849999999999939</c:v>
                </c:pt>
                <c:pt idx="58">
                  <c:v>1.2899999999999938</c:v>
                </c:pt>
                <c:pt idx="59">
                  <c:v>1.2949999999999937</c:v>
                </c:pt>
                <c:pt idx="60">
                  <c:v>1.2999999999999936</c:v>
                </c:pt>
                <c:pt idx="61">
                  <c:v>1.3049999999999935</c:v>
                </c:pt>
                <c:pt idx="62">
                  <c:v>1.3099999999999934</c:v>
                </c:pt>
                <c:pt idx="63">
                  <c:v>1.3149999999999933</c:v>
                </c:pt>
                <c:pt idx="64">
                  <c:v>1.3199999999999932</c:v>
                </c:pt>
                <c:pt idx="65">
                  <c:v>1.3249999999999931</c:v>
                </c:pt>
                <c:pt idx="66">
                  <c:v>1.329999999999993</c:v>
                </c:pt>
                <c:pt idx="67">
                  <c:v>1.3349999999999929</c:v>
                </c:pt>
                <c:pt idx="68">
                  <c:v>1.3399999999999928</c:v>
                </c:pt>
                <c:pt idx="69">
                  <c:v>1.3449999999999926</c:v>
                </c:pt>
                <c:pt idx="70">
                  <c:v>1.3499999999999925</c:v>
                </c:pt>
                <c:pt idx="71">
                  <c:v>1.3549999999999924</c:v>
                </c:pt>
                <c:pt idx="72">
                  <c:v>1.3599999999999923</c:v>
                </c:pt>
                <c:pt idx="73">
                  <c:v>1.3649999999999922</c:v>
                </c:pt>
                <c:pt idx="74">
                  <c:v>1.3699999999999921</c:v>
                </c:pt>
                <c:pt idx="75">
                  <c:v>1.374999999999992</c:v>
                </c:pt>
                <c:pt idx="76">
                  <c:v>1.3799999999999919</c:v>
                </c:pt>
                <c:pt idx="77">
                  <c:v>1.3849999999999918</c:v>
                </c:pt>
                <c:pt idx="78">
                  <c:v>1.3899999999999917</c:v>
                </c:pt>
                <c:pt idx="79">
                  <c:v>1.3949999999999916</c:v>
                </c:pt>
                <c:pt idx="80">
                  <c:v>1.3999999999999915</c:v>
                </c:pt>
                <c:pt idx="81">
                  <c:v>1.4049999999999914</c:v>
                </c:pt>
                <c:pt idx="82">
                  <c:v>1.4099999999999913</c:v>
                </c:pt>
                <c:pt idx="83">
                  <c:v>1.4149999999999912</c:v>
                </c:pt>
                <c:pt idx="84">
                  <c:v>1.419999999999991</c:v>
                </c:pt>
                <c:pt idx="85">
                  <c:v>1.4249999999999909</c:v>
                </c:pt>
                <c:pt idx="86">
                  <c:v>1.4299999999999908</c:v>
                </c:pt>
                <c:pt idx="87">
                  <c:v>1.4349999999999907</c:v>
                </c:pt>
                <c:pt idx="88">
                  <c:v>1.4399999999999906</c:v>
                </c:pt>
                <c:pt idx="89">
                  <c:v>1.4449999999999905</c:v>
                </c:pt>
                <c:pt idx="90">
                  <c:v>1.4499999999999904</c:v>
                </c:pt>
                <c:pt idx="91">
                  <c:v>1.4549999999999903</c:v>
                </c:pt>
                <c:pt idx="92">
                  <c:v>1.4599999999999902</c:v>
                </c:pt>
                <c:pt idx="93">
                  <c:v>1.4649999999999901</c:v>
                </c:pt>
                <c:pt idx="94">
                  <c:v>1.46999999999999</c:v>
                </c:pt>
                <c:pt idx="95">
                  <c:v>1.4749999999999899</c:v>
                </c:pt>
                <c:pt idx="96">
                  <c:v>1.4799999999999898</c:v>
                </c:pt>
                <c:pt idx="97">
                  <c:v>1.4849999999999897</c:v>
                </c:pt>
                <c:pt idx="98">
                  <c:v>1.4899999999999896</c:v>
                </c:pt>
                <c:pt idx="99">
                  <c:v>1.4949999999999894</c:v>
                </c:pt>
              </c:numCache>
            </c:numRef>
          </c:cat>
          <c:val>
            <c:numRef>
              <c:f>sheet2!$K$5:$K$104</c:f>
              <c:numCache>
                <c:formatCode>General</c:formatCode>
                <c:ptCount val="100"/>
                <c:pt idx="0">
                  <c:v>7.9365128176378891E-2</c:v>
                </c:pt>
                <c:pt idx="1">
                  <c:v>7.4579637635372703E-2</c:v>
                </c:pt>
                <c:pt idx="2">
                  <c:v>6.990682326008503E-2</c:v>
                </c:pt>
                <c:pt idx="3">
                  <c:v>6.5350072600997164E-2</c:v>
                </c:pt>
                <c:pt idx="4">
                  <c:v>6.0912824534638921E-2</c:v>
                </c:pt>
                <c:pt idx="5">
                  <c:v>5.6598569883375097E-2</c:v>
                </c:pt>
                <c:pt idx="6">
                  <c:v>5.2410852042029894E-2</c:v>
                </c:pt>
                <c:pt idx="7">
                  <c:v>4.8353267611420343E-2</c:v>
                </c:pt>
                <c:pt idx="8">
                  <c:v>4.4429467038871309E-2</c:v>
                </c:pt>
                <c:pt idx="9">
                  <c:v>4.0643155265786969E-2</c:v>
                </c:pt>
                <c:pt idx="10">
                  <c:v>3.6998092382351716E-2</c:v>
                </c:pt>
                <c:pt idx="11">
                  <c:v>3.3498094289436751E-2</c:v>
                </c:pt>
                <c:pt idx="12">
                  <c:v>3.014703336778831E-2</c:v>
                </c:pt>
                <c:pt idx="13">
                  <c:v>2.6948839154573946E-2</c:v>
                </c:pt>
                <c:pt idx="14">
                  <c:v>2.3907499027364425E-2</c:v>
                </c:pt>
                <c:pt idx="15">
                  <c:v>2.1027058895629863E-2</c:v>
                </c:pt>
                <c:pt idx="16">
                  <c:v>1.8311623899829068E-2</c:v>
                </c:pt>
                <c:pt idx="17">
                  <c:v>1.5765359118172641E-2</c:v>
                </c:pt>
                <c:pt idx="18">
                  <c:v>1.3392490281139592E-2</c:v>
                </c:pt>
                <c:pt idx="19">
                  <c:v>1.1197304493829998E-2</c:v>
                </c:pt>
                <c:pt idx="20">
                  <c:v>9.1841509662364453E-3</c:v>
                </c:pt>
                <c:pt idx="21">
                  <c:v>7.3574417515160848E-3</c:v>
                </c:pt>
                <c:pt idx="22">
                  <c:v>5.7216524923495238E-3</c:v>
                </c:pt>
                <c:pt idx="23">
                  <c:v>4.2813231754701203E-3</c:v>
                </c:pt>
                <c:pt idx="24">
                  <c:v>3.041058894450107E-3</c:v>
                </c:pt>
                <c:pt idx="25">
                  <c:v>2.0055306208309341E-3</c:v>
                </c:pt>
                <c:pt idx="26">
                  <c:v>1.1794759836843383E-3</c:v>
                </c:pt>
                <c:pt idx="27">
                  <c:v>5.6770005769410793E-4</c:v>
                </c:pt>
                <c:pt idx="28">
                  <c:v>1.7507615984710295E-4</c:v>
                </c:pt>
                <c:pt idx="29">
                  <c:v>6.5466548245120653E-6</c:v>
                </c:pt>
                <c:pt idx="30">
                  <c:v>6.7123769184573268E-5</c:v>
                </c:pt>
                <c:pt idx="31">
                  <c:v>3.6189041442912244E-4</c:v>
                </c:pt>
                <c:pt idx="32">
                  <c:v>8.9600101904730703E-4</c:v>
                </c:pt>
                <c:pt idx="33">
                  <c:v>1.6746823696305844E-3</c:v>
                </c:pt>
                <c:pt idx="34">
                  <c:v>2.7032344611543969E-3</c:v>
                </c:pt>
                <c:pt idx="35">
                  <c:v>3.9870313565227942E-3</c:v>
                </c:pt>
                <c:pt idx="36">
                  <c:v>5.5315220554726253E-3</c:v>
                </c:pt>
                <c:pt idx="37">
                  <c:v>7.3422313729364242E-3</c:v>
                </c:pt>
                <c:pt idx="38">
                  <c:v>9.4247608269622373E-3</c:v>
                </c:pt>
                <c:pt idx="39">
                  <c:v>1.1784789536291477E-2</c:v>
                </c:pt>
                <c:pt idx="40">
                  <c:v>1.4428075127695375E-2</c:v>
                </c:pt>
                <c:pt idx="41">
                  <c:v>1.7360454653172451E-2</c:v>
                </c:pt>
                <c:pt idx="42">
                  <c:v>2.0587845517110979E-2</c:v>
                </c:pt>
                <c:pt idx="43">
                  <c:v>2.4116246413520025E-2</c:v>
                </c:pt>
                <c:pt idx="44">
                  <c:v>2.7951738273434605E-2</c:v>
                </c:pt>
                <c:pt idx="45">
                  <c:v>3.2100485222602483E-2</c:v>
                </c:pt>
                <c:pt idx="46">
                  <c:v>3.6568735549559112E-2</c:v>
                </c:pt>
                <c:pt idx="47">
                  <c:v>4.1362822684199753E-2</c:v>
                </c:pt>
                <c:pt idx="48">
                  <c:v>4.6489166186960057E-2</c:v>
                </c:pt>
                <c:pt idx="49">
                  <c:v>5.1954272748713025E-2</c:v>
                </c:pt>
                <c:pt idx="50">
                  <c:v>5.7764737201498113E-2</c:v>
                </c:pt>
                <c:pt idx="51">
                  <c:v>6.3927243540192857E-2</c:v>
                </c:pt>
                <c:pt idx="52">
                  <c:v>7.0448565955244194E-2</c:v>
                </c:pt>
                <c:pt idx="53">
                  <c:v>7.7335569876571877E-2</c:v>
                </c:pt>
                <c:pt idx="54">
                  <c:v>8.4595213028763411E-2</c:v>
                </c:pt>
                <c:pt idx="55">
                  <c:v>9.2234546497678385E-2</c:v>
                </c:pt>
                <c:pt idx="56">
                  <c:v>0.10026071580858002</c:v>
                </c:pt>
                <c:pt idx="57">
                  <c:v>0.10868096201591466</c:v>
                </c:pt>
                <c:pt idx="58">
                  <c:v>0.11750262280486262</c:v>
                </c:pt>
                <c:pt idx="59">
                  <c:v>0.12673313360478131</c:v>
                </c:pt>
                <c:pt idx="60">
                  <c:v>0.13638002871466604</c:v>
                </c:pt>
                <c:pt idx="61">
                  <c:v>0.14645094244075346</c:v>
                </c:pt>
                <c:pt idx="62">
                  <c:v>0.15695361024639509</c:v>
                </c:pt>
                <c:pt idx="63">
                  <c:v>0.16789586991432731</c:v>
                </c:pt>
                <c:pt idx="64">
                  <c:v>0.17928566272146976</c:v>
                </c:pt>
                <c:pt idx="65">
                  <c:v>0.1911310346263809</c:v>
                </c:pt>
                <c:pt idx="66">
                  <c:v>0.2034401374695039</c:v>
                </c:pt>
                <c:pt idx="67">
                  <c:v>0.21622123018633371</c:v>
                </c:pt>
                <c:pt idx="68">
                  <c:v>0.229482680033647</c:v>
                </c:pt>
                <c:pt idx="69">
                  <c:v>0.2432329638289201</c:v>
                </c:pt>
                <c:pt idx="70">
                  <c:v>0.25748066920308443</c:v>
                </c:pt>
                <c:pt idx="71">
                  <c:v>0.27223449586674775</c:v>
                </c:pt>
                <c:pt idx="72">
                  <c:v>0.2875032568900302</c:v>
                </c:pt>
                <c:pt idx="73">
                  <c:v>0.30329587999615315</c:v>
                </c:pt>
                <c:pt idx="74">
                  <c:v>0.31962140886892115</c:v>
                </c:pt>
                <c:pt idx="75">
                  <c:v>0.33648900447424879</c:v>
                </c:pt>
                <c:pt idx="76">
                  <c:v>0.3539079463958712</c:v>
                </c:pt>
                <c:pt idx="77">
                  <c:v>0.37188763418539483</c:v>
                </c:pt>
                <c:pt idx="78">
                  <c:v>0.39043758872682521</c:v>
                </c:pt>
                <c:pt idx="79">
                  <c:v>0.40956745361573738</c:v>
                </c:pt>
                <c:pt idx="80">
                  <c:v>0.42928699655322838</c:v>
                </c:pt>
                <c:pt idx="81">
                  <c:v>0.44960611075481227</c:v>
                </c:pt>
                <c:pt idx="82">
                  <c:v>0.47053481637441308</c:v>
                </c:pt>
                <c:pt idx="83">
                  <c:v>0.49208326194361385</c:v>
                </c:pt>
                <c:pt idx="84">
                  <c:v>0.51426172582631113</c:v>
                </c:pt>
                <c:pt idx="85">
                  <c:v>0.5370806176889471</c:v>
                </c:pt>
                <c:pt idx="86">
                  <c:v>0.56055047998647822</c:v>
                </c:pt>
                <c:pt idx="87">
                  <c:v>0.58468198946423811</c:v>
                </c:pt>
                <c:pt idx="88">
                  <c:v>0.60948595867586786</c:v>
                </c:pt>
                <c:pt idx="89">
                  <c:v>0.63497333751746932</c:v>
                </c:pt>
                <c:pt idx="90">
                  <c:v>0.66115521477817063</c:v>
                </c:pt>
                <c:pt idx="91">
                  <c:v>0.68804281970724468</c:v>
                </c:pt>
                <c:pt idx="92">
                  <c:v>0.71564752359798844</c:v>
                </c:pt>
                <c:pt idx="93">
                  <c:v>0.74398084138849974</c:v>
                </c:pt>
                <c:pt idx="94">
                  <c:v>0.77305443327955958</c:v>
                </c:pt>
                <c:pt idx="95">
                  <c:v>0.80288010636976814</c:v>
                </c:pt>
                <c:pt idx="96">
                  <c:v>0.83346981630814887</c:v>
                </c:pt>
                <c:pt idx="97">
                  <c:v>0.86483566896436437</c:v>
                </c:pt>
                <c:pt idx="98">
                  <c:v>0.89698992211675255</c:v>
                </c:pt>
                <c:pt idx="99">
                  <c:v>0.92994498715835694</c:v>
                </c:pt>
              </c:numCache>
            </c:numRef>
          </c:val>
          <c:smooth val="0"/>
          <c:extLst>
            <c:ext xmlns:c16="http://schemas.microsoft.com/office/drawing/2014/chart" uri="{C3380CC4-5D6E-409C-BE32-E72D297353CC}">
              <c16:uniqueId val="{00000000-D941-4B1E-9E16-AA4F62C71658}"/>
            </c:ext>
          </c:extLst>
        </c:ser>
        <c:dLbls>
          <c:showLegendKey val="0"/>
          <c:showVal val="0"/>
          <c:showCatName val="0"/>
          <c:showSerName val="0"/>
          <c:showPercent val="0"/>
          <c:showBubbleSize val="0"/>
        </c:dLbls>
        <c:marker val="1"/>
        <c:smooth val="0"/>
        <c:axId val="129092120"/>
        <c:axId val="129113248"/>
      </c:lineChart>
      <c:catAx>
        <c:axId val="129092120"/>
        <c:scaling>
          <c:orientation val="minMax"/>
        </c:scaling>
        <c:delete val="0"/>
        <c:axPos val="b"/>
        <c:title>
          <c:tx>
            <c:rich>
              <a:bodyPr/>
              <a:lstStyle/>
              <a:p>
                <a:pPr>
                  <a:defRPr sz="925" b="1" i="0" u="none" strike="noStrike" baseline="0">
                    <a:solidFill>
                      <a:srgbClr val="000000"/>
                    </a:solidFill>
                    <a:latin typeface="Arial"/>
                    <a:ea typeface="Arial"/>
                    <a:cs typeface="Arial"/>
                  </a:defRPr>
                </a:pPr>
                <a:r>
                  <a:rPr lang="en-US"/>
                  <a:t>Absciss X</a:t>
                </a:r>
              </a:p>
            </c:rich>
          </c:tx>
          <c:layout>
            <c:manualLayout>
              <c:xMode val="edge"/>
              <c:yMode val="edge"/>
              <c:x val="0.48939929328621906"/>
              <c:y val="0.91253153639482998"/>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a:ea typeface="Arial"/>
                <a:cs typeface="Arial"/>
              </a:defRPr>
            </a:pPr>
            <a:endParaRPr lang="ru-RU"/>
          </a:p>
        </c:txPr>
        <c:crossAx val="129113248"/>
        <c:crosses val="autoZero"/>
        <c:auto val="1"/>
        <c:lblAlgn val="ctr"/>
        <c:lblOffset val="100"/>
        <c:tickLblSkip val="5"/>
        <c:tickMarkSkip val="10"/>
        <c:noMultiLvlLbl val="0"/>
      </c:catAx>
      <c:valAx>
        <c:axId val="129113248"/>
        <c:scaling>
          <c:orientation val="minMax"/>
        </c:scaling>
        <c:delete val="0"/>
        <c:axPos val="l"/>
        <c:majorGridlines>
          <c:spPr>
            <a:ln w="3175">
              <a:solidFill>
                <a:srgbClr val="000000"/>
              </a:solidFill>
              <a:prstDash val="solid"/>
            </a:ln>
          </c:spPr>
        </c:majorGridlines>
        <c:title>
          <c:tx>
            <c:rich>
              <a:bodyPr/>
              <a:lstStyle/>
              <a:p>
                <a:pPr>
                  <a:defRPr sz="925" b="1" i="0" u="none" strike="noStrike" baseline="0">
                    <a:solidFill>
                      <a:srgbClr val="000000"/>
                    </a:solidFill>
                    <a:latin typeface="Arial"/>
                    <a:ea typeface="Arial"/>
                    <a:cs typeface="Arial"/>
                  </a:defRPr>
                </a:pPr>
                <a:r>
                  <a:rPr lang="en-US"/>
                  <a:t>Ordinate Y</a:t>
                </a:r>
              </a:p>
            </c:rich>
          </c:tx>
          <c:layout>
            <c:manualLayout>
              <c:xMode val="edge"/>
              <c:yMode val="edge"/>
              <c:x val="2.8268551236749116E-2"/>
              <c:y val="0.42789697387117387"/>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ru-RU"/>
          </a:p>
        </c:txPr>
        <c:crossAx val="129092120"/>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925" b="0" i="0" u="none" strike="noStrike" baseline="0">
          <a:solidFill>
            <a:srgbClr val="000000"/>
          </a:solidFill>
          <a:latin typeface="Arial"/>
          <a:ea typeface="Arial"/>
          <a:cs typeface="Arial"/>
        </a:defRPr>
      </a:pPr>
      <a:endParaRPr lang="ru-RU"/>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0" i="0" u="none" strike="noStrike" baseline="0">
                <a:solidFill>
                  <a:srgbClr val="000000"/>
                </a:solidFill>
                <a:latin typeface="Times New Roman"/>
                <a:ea typeface="Times New Roman"/>
                <a:cs typeface="Times New Roman"/>
              </a:defRPr>
            </a:pPr>
            <a:r>
              <a:rPr lang="ru-RU"/>
              <a:t>Рис. 3.1  Зависимость Колличества итераций от Допустимой погрешности</a:t>
            </a:r>
          </a:p>
        </c:rich>
      </c:tx>
      <c:layout>
        <c:manualLayout>
          <c:xMode val="edge"/>
          <c:yMode val="edge"/>
          <c:x val="0.20930265112209809"/>
          <c:y val="3.8062283737024222E-2"/>
        </c:manualLayout>
      </c:layout>
      <c:overlay val="0"/>
      <c:spPr>
        <a:noFill/>
        <a:ln w="25400">
          <a:noFill/>
        </a:ln>
      </c:spPr>
    </c:title>
    <c:autoTitleDeleted val="0"/>
    <c:plotArea>
      <c:layout>
        <c:manualLayout>
          <c:layoutTarget val="inner"/>
          <c:xMode val="edge"/>
          <c:yMode val="edge"/>
          <c:x val="0.1193800257086145"/>
          <c:y val="0.14186875180571443"/>
          <c:w val="0.7131793743631516"/>
          <c:h val="0.69204269173519228"/>
        </c:manualLayout>
      </c:layout>
      <c:lineChart>
        <c:grouping val="standard"/>
        <c:varyColors val="0"/>
        <c:ser>
          <c:idx val="0"/>
          <c:order val="0"/>
          <c:tx>
            <c:v>НЦ=422</c:v>
          </c:tx>
          <c:spPr>
            <a:ln w="12700">
              <a:solidFill>
                <a:srgbClr val="000080"/>
              </a:solidFill>
              <a:prstDash val="solid"/>
            </a:ln>
          </c:spPr>
          <c:marker>
            <c:symbol val="diamond"/>
            <c:size val="5"/>
            <c:spPr>
              <a:solidFill>
                <a:srgbClr val="000080"/>
              </a:solidFill>
              <a:ln>
                <a:solidFill>
                  <a:srgbClr val="000080"/>
                </a:solidFill>
                <a:prstDash val="solid"/>
              </a:ln>
            </c:spPr>
          </c:marker>
          <c:cat>
            <c:numRef>
              <c:f>Sheet5!$G$12:$G$15</c:f>
              <c:numCache>
                <c:formatCode>General</c:formatCode>
                <c:ptCount val="4"/>
                <c:pt idx="0">
                  <c:v>10</c:v>
                </c:pt>
                <c:pt idx="1">
                  <c:v>1</c:v>
                </c:pt>
                <c:pt idx="2">
                  <c:v>0.1</c:v>
                </c:pt>
                <c:pt idx="3">
                  <c:v>0.01</c:v>
                </c:pt>
              </c:numCache>
            </c:numRef>
          </c:cat>
          <c:val>
            <c:numRef>
              <c:f>Sheet5!$F$12:$F$15</c:f>
              <c:numCache>
                <c:formatCode>General</c:formatCode>
                <c:ptCount val="4"/>
                <c:pt idx="0">
                  <c:v>6</c:v>
                </c:pt>
                <c:pt idx="1">
                  <c:v>67</c:v>
                </c:pt>
                <c:pt idx="2">
                  <c:v>679</c:v>
                </c:pt>
                <c:pt idx="3">
                  <c:v>6798</c:v>
                </c:pt>
              </c:numCache>
            </c:numRef>
          </c:val>
          <c:smooth val="0"/>
          <c:extLst>
            <c:ext xmlns:c16="http://schemas.microsoft.com/office/drawing/2014/chart" uri="{C3380CC4-5D6E-409C-BE32-E72D297353CC}">
              <c16:uniqueId val="{00000000-B7DE-4234-AE91-AD66833BDBE1}"/>
            </c:ext>
          </c:extLst>
        </c:ser>
        <c:ser>
          <c:idx val="1"/>
          <c:order val="1"/>
          <c:tx>
            <c:v>НЦ=423</c:v>
          </c:tx>
          <c:spPr>
            <a:ln w="12700">
              <a:solidFill>
                <a:srgbClr val="FF00FF"/>
              </a:solidFill>
              <a:prstDash val="solid"/>
            </a:ln>
          </c:spPr>
          <c:marker>
            <c:symbol val="square"/>
            <c:size val="5"/>
            <c:spPr>
              <a:solidFill>
                <a:srgbClr val="FF00FF"/>
              </a:solidFill>
              <a:ln>
                <a:solidFill>
                  <a:srgbClr val="FF00FF"/>
                </a:solidFill>
                <a:prstDash val="solid"/>
              </a:ln>
            </c:spPr>
          </c:marker>
          <c:val>
            <c:numRef>
              <c:f>Sheet5!$F$16:$F$19</c:f>
              <c:numCache>
                <c:formatCode>General</c:formatCode>
                <c:ptCount val="4"/>
                <c:pt idx="0">
                  <c:v>67990</c:v>
                </c:pt>
              </c:numCache>
            </c:numRef>
          </c:val>
          <c:smooth val="0"/>
          <c:extLst>
            <c:ext xmlns:c16="http://schemas.microsoft.com/office/drawing/2014/chart" uri="{C3380CC4-5D6E-409C-BE32-E72D297353CC}">
              <c16:uniqueId val="{00000001-B7DE-4234-AE91-AD66833BDBE1}"/>
            </c:ext>
          </c:extLst>
        </c:ser>
        <c:ser>
          <c:idx val="2"/>
          <c:order val="2"/>
          <c:tx>
            <c:v>НЦ=424</c:v>
          </c:tx>
          <c:spPr>
            <a:ln w="12700">
              <a:solidFill>
                <a:srgbClr val="FFFF00"/>
              </a:solidFill>
              <a:prstDash val="solid"/>
            </a:ln>
          </c:spPr>
          <c:marker>
            <c:symbol val="triangle"/>
            <c:size val="5"/>
            <c:spPr>
              <a:solidFill>
                <a:srgbClr val="FFFF00"/>
              </a:solidFill>
              <a:ln>
                <a:solidFill>
                  <a:srgbClr val="FFFF00"/>
                </a:solidFill>
                <a:prstDash val="solid"/>
              </a:ln>
            </c:spPr>
          </c:marker>
          <c:val>
            <c:numRef>
              <c:f>Sheet5!$F$20:$F$23</c:f>
              <c:numCache>
                <c:formatCode>General</c:formatCode>
                <c:ptCount val="4"/>
                <c:pt idx="3">
                  <c:v>5</c:v>
                </c:pt>
              </c:numCache>
            </c:numRef>
          </c:val>
          <c:smooth val="0"/>
          <c:extLst>
            <c:ext xmlns:c16="http://schemas.microsoft.com/office/drawing/2014/chart" uri="{C3380CC4-5D6E-409C-BE32-E72D297353CC}">
              <c16:uniqueId val="{00000002-B7DE-4234-AE91-AD66833BDBE1}"/>
            </c:ext>
          </c:extLst>
        </c:ser>
        <c:ser>
          <c:idx val="3"/>
          <c:order val="3"/>
          <c:tx>
            <c:v>НЦ=425</c:v>
          </c:tx>
          <c:spPr>
            <a:ln w="12700">
              <a:solidFill>
                <a:srgbClr val="00FFFF"/>
              </a:solidFill>
              <a:prstDash val="solid"/>
            </a:ln>
          </c:spPr>
          <c:marker>
            <c:symbol val="x"/>
            <c:size val="5"/>
            <c:spPr>
              <a:noFill/>
              <a:ln>
                <a:solidFill>
                  <a:srgbClr val="00FFFF"/>
                </a:solidFill>
                <a:prstDash val="solid"/>
              </a:ln>
            </c:spPr>
          </c:marker>
          <c:val>
            <c:numRef>
              <c:f>Sheet5!$F$24:$F$27</c:f>
              <c:numCache>
                <c:formatCode>General</c:formatCode>
                <c:ptCount val="4"/>
                <c:pt idx="0">
                  <c:v>57</c:v>
                </c:pt>
                <c:pt idx="1">
                  <c:v>579</c:v>
                </c:pt>
                <c:pt idx="2">
                  <c:v>5798</c:v>
                </c:pt>
                <c:pt idx="3">
                  <c:v>57990</c:v>
                </c:pt>
              </c:numCache>
            </c:numRef>
          </c:val>
          <c:smooth val="0"/>
          <c:extLst>
            <c:ext xmlns:c16="http://schemas.microsoft.com/office/drawing/2014/chart" uri="{C3380CC4-5D6E-409C-BE32-E72D297353CC}">
              <c16:uniqueId val="{00000003-B7DE-4234-AE91-AD66833BDBE1}"/>
            </c:ext>
          </c:extLst>
        </c:ser>
        <c:ser>
          <c:idx val="4"/>
          <c:order val="4"/>
          <c:tx>
            <c:v>НЦ=426</c:v>
          </c:tx>
          <c:spPr>
            <a:ln w="12700">
              <a:solidFill>
                <a:srgbClr val="800080"/>
              </a:solidFill>
              <a:prstDash val="solid"/>
            </a:ln>
          </c:spPr>
          <c:marker>
            <c:symbol val="star"/>
            <c:size val="5"/>
            <c:spPr>
              <a:noFill/>
              <a:ln>
                <a:solidFill>
                  <a:srgbClr val="800080"/>
                </a:solidFill>
                <a:prstDash val="solid"/>
              </a:ln>
            </c:spPr>
          </c:marker>
          <c:val>
            <c:numRef>
              <c:f>Sheet5!$F$28:$F$31</c:f>
              <c:numCache>
                <c:formatCode>General</c:formatCode>
                <c:ptCount val="4"/>
              </c:numCache>
            </c:numRef>
          </c:val>
          <c:smooth val="0"/>
          <c:extLst>
            <c:ext xmlns:c16="http://schemas.microsoft.com/office/drawing/2014/chart" uri="{C3380CC4-5D6E-409C-BE32-E72D297353CC}">
              <c16:uniqueId val="{00000004-B7DE-4234-AE91-AD66833BDBE1}"/>
            </c:ext>
          </c:extLst>
        </c:ser>
        <c:dLbls>
          <c:showLegendKey val="0"/>
          <c:showVal val="0"/>
          <c:showCatName val="0"/>
          <c:showSerName val="0"/>
          <c:showPercent val="0"/>
          <c:showBubbleSize val="0"/>
        </c:dLbls>
        <c:marker val="1"/>
        <c:smooth val="0"/>
        <c:axId val="129818440"/>
        <c:axId val="129411968"/>
      </c:lineChart>
      <c:catAx>
        <c:axId val="129818440"/>
        <c:scaling>
          <c:orientation val="minMax"/>
        </c:scaling>
        <c:delete val="0"/>
        <c:axPos val="b"/>
        <c:title>
          <c:tx>
            <c:rich>
              <a:bodyPr/>
              <a:lstStyle/>
              <a:p>
                <a:pPr>
                  <a:defRPr sz="925" b="0" i="0" u="none" strike="noStrike" baseline="0">
                    <a:solidFill>
                      <a:srgbClr val="000000"/>
                    </a:solidFill>
                    <a:latin typeface="Times New Roman"/>
                    <a:ea typeface="Times New Roman"/>
                    <a:cs typeface="Times New Roman"/>
                  </a:defRPr>
                </a:pPr>
                <a:r>
                  <a:rPr lang="ru-RU"/>
                  <a:t>Допустимая погрешность</a:t>
                </a:r>
              </a:p>
            </c:rich>
          </c:tx>
          <c:layout>
            <c:manualLayout>
              <c:xMode val="edge"/>
              <c:yMode val="edge"/>
              <c:x val="0.37054312396996886"/>
              <c:y val="0.87889418666957286"/>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5400000" vert="horz"/>
          <a:lstStyle/>
          <a:p>
            <a:pPr>
              <a:defRPr sz="925" b="0" i="0" u="none" strike="noStrike" baseline="0">
                <a:solidFill>
                  <a:srgbClr val="000000"/>
                </a:solidFill>
                <a:latin typeface="Times New Roman"/>
                <a:ea typeface="Times New Roman"/>
                <a:cs typeface="Times New Roman"/>
              </a:defRPr>
            </a:pPr>
            <a:endParaRPr lang="ru-RU"/>
          </a:p>
        </c:txPr>
        <c:crossAx val="129411968"/>
        <c:crosses val="autoZero"/>
        <c:auto val="1"/>
        <c:lblAlgn val="ctr"/>
        <c:lblOffset val="100"/>
        <c:tickLblSkip val="1"/>
        <c:tickMarkSkip val="1"/>
        <c:noMultiLvlLbl val="0"/>
      </c:catAx>
      <c:valAx>
        <c:axId val="129411968"/>
        <c:scaling>
          <c:orientation val="minMax"/>
        </c:scaling>
        <c:delete val="0"/>
        <c:axPos val="l"/>
        <c:majorGridlines>
          <c:spPr>
            <a:ln w="3175">
              <a:solidFill>
                <a:srgbClr val="000000"/>
              </a:solidFill>
              <a:prstDash val="solid"/>
            </a:ln>
          </c:spPr>
        </c:majorGridlines>
        <c:title>
          <c:tx>
            <c:rich>
              <a:bodyPr/>
              <a:lstStyle/>
              <a:p>
                <a:pPr>
                  <a:defRPr sz="925" b="0" i="0" u="none" strike="noStrike" baseline="0">
                    <a:solidFill>
                      <a:srgbClr val="000000"/>
                    </a:solidFill>
                    <a:latin typeface="Times New Roman"/>
                    <a:ea typeface="Times New Roman"/>
                    <a:cs typeface="Times New Roman"/>
                  </a:defRPr>
                </a:pPr>
                <a:r>
                  <a:rPr lang="ru-RU"/>
                  <a:t>Колличество итераций</a:t>
                </a:r>
              </a:p>
            </c:rich>
          </c:tx>
          <c:layout>
            <c:manualLayout>
              <c:xMode val="edge"/>
              <c:yMode val="edge"/>
              <c:x val="2.9457364341085271E-2"/>
              <c:y val="0.2837373874978430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925" b="0" i="0" u="none" strike="noStrike" baseline="0">
                <a:solidFill>
                  <a:srgbClr val="000000"/>
                </a:solidFill>
                <a:latin typeface="Times New Roman"/>
                <a:ea typeface="Times New Roman"/>
                <a:cs typeface="Times New Roman"/>
              </a:defRPr>
            </a:pPr>
            <a:endParaRPr lang="ru-RU"/>
          </a:p>
        </c:txPr>
        <c:crossAx val="129818440"/>
        <c:crosses val="autoZero"/>
        <c:crossBetween val="between"/>
      </c:valAx>
      <c:spPr>
        <a:solidFill>
          <a:srgbClr val="C0C0C0"/>
        </a:solidFill>
        <a:ln w="12700">
          <a:solidFill>
            <a:srgbClr val="808080"/>
          </a:solidFill>
          <a:prstDash val="solid"/>
        </a:ln>
      </c:spPr>
    </c:plotArea>
    <c:legend>
      <c:legendPos val="r"/>
      <c:layout>
        <c:manualLayout>
          <c:xMode val="edge"/>
          <c:yMode val="edge"/>
          <c:x val="0.84341215487598931"/>
          <c:y val="0.24221489614836206"/>
          <c:w val="0.1364342712974832"/>
          <c:h val="0.44290730094724312"/>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Times New Roman"/>
              <a:ea typeface="Times New Roman"/>
              <a:cs typeface="Times New Roman"/>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900" b="0" i="0" u="none" strike="noStrike" baseline="0">
          <a:solidFill>
            <a:srgbClr val="000000"/>
          </a:solidFill>
          <a:latin typeface="Times New Roman"/>
          <a:ea typeface="Times New Roman"/>
          <a:cs typeface="Times New Roman"/>
        </a:defRPr>
      </a:pPr>
      <a:endParaRPr lang="ru-RU"/>
    </a:p>
  </c:txPr>
  <c:printSettings>
    <c:headerFooter alignWithMargins="0"/>
    <c:pageMargins b="1" l="0.75" r="0.75" t="1" header="0.5" footer="0.5"/>
    <c:pageSetup paperSize="9"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Times New Roman"/>
                <a:ea typeface="Times New Roman"/>
                <a:cs typeface="Times New Roman"/>
              </a:defRPr>
            </a:pPr>
            <a:r>
              <a:rPr lang="ru-RU"/>
              <a:t>Рис. 3.2  Зависимость Количества итераций от Начальной цены</a:t>
            </a:r>
          </a:p>
        </c:rich>
      </c:tx>
      <c:layout>
        <c:manualLayout>
          <c:xMode val="edge"/>
          <c:yMode val="edge"/>
          <c:x val="0.22308892355694226"/>
          <c:y val="3.8062283737024222E-2"/>
        </c:manualLayout>
      </c:layout>
      <c:overlay val="0"/>
      <c:spPr>
        <a:noFill/>
        <a:ln w="25400">
          <a:noFill/>
        </a:ln>
      </c:spPr>
    </c:title>
    <c:autoTitleDeleted val="0"/>
    <c:plotArea>
      <c:layout>
        <c:manualLayout>
          <c:layoutTarget val="inner"/>
          <c:xMode val="edge"/>
          <c:yMode val="edge"/>
          <c:x val="0.12168486739469579"/>
          <c:y val="0.17301067293379807"/>
          <c:w val="0.7160686427457098"/>
          <c:h val="0.61591799564432115"/>
        </c:manualLayout>
      </c:layout>
      <c:lineChart>
        <c:grouping val="standard"/>
        <c:varyColors val="0"/>
        <c:ser>
          <c:idx val="0"/>
          <c:order val="0"/>
          <c:tx>
            <c:v>ДП=10</c:v>
          </c:tx>
          <c:spPr>
            <a:ln w="12700">
              <a:solidFill>
                <a:srgbClr val="000080"/>
              </a:solidFill>
              <a:prstDash val="solid"/>
            </a:ln>
          </c:spPr>
          <c:marker>
            <c:symbol val="diamond"/>
            <c:size val="5"/>
            <c:spPr>
              <a:solidFill>
                <a:srgbClr val="000080"/>
              </a:solidFill>
              <a:ln>
                <a:solidFill>
                  <a:srgbClr val="000080"/>
                </a:solidFill>
                <a:prstDash val="solid"/>
              </a:ln>
            </c:spPr>
          </c:marker>
          <c:cat>
            <c:numRef>
              <c:f>Sheet5!$H$35:$H$39</c:f>
              <c:numCache>
                <c:formatCode>General</c:formatCode>
                <c:ptCount val="5"/>
                <c:pt idx="0">
                  <c:v>1985</c:v>
                </c:pt>
                <c:pt idx="1">
                  <c:v>1985</c:v>
                </c:pt>
                <c:pt idx="2">
                  <c:v>1985</c:v>
                </c:pt>
                <c:pt idx="3">
                  <c:v>1985</c:v>
                </c:pt>
                <c:pt idx="4">
                  <c:v>1985</c:v>
                </c:pt>
              </c:numCache>
            </c:numRef>
          </c:cat>
          <c:val>
            <c:numRef>
              <c:f>Sheet5!$F$35:$F$39</c:f>
              <c:numCache>
                <c:formatCode>General</c:formatCode>
                <c:ptCount val="5"/>
                <c:pt idx="0">
                  <c:v>47</c:v>
                </c:pt>
                <c:pt idx="1">
                  <c:v>479</c:v>
                </c:pt>
                <c:pt idx="2">
                  <c:v>4798</c:v>
                </c:pt>
                <c:pt idx="3">
                  <c:v>47990</c:v>
                </c:pt>
              </c:numCache>
            </c:numRef>
          </c:val>
          <c:smooth val="0"/>
          <c:extLst>
            <c:ext xmlns:c16="http://schemas.microsoft.com/office/drawing/2014/chart" uri="{C3380CC4-5D6E-409C-BE32-E72D297353CC}">
              <c16:uniqueId val="{00000000-D069-4DC8-977E-0163C0050AEA}"/>
            </c:ext>
          </c:extLst>
        </c:ser>
        <c:ser>
          <c:idx val="1"/>
          <c:order val="1"/>
          <c:tx>
            <c:v>ДП=1</c:v>
          </c:tx>
          <c:spPr>
            <a:ln w="12700">
              <a:solidFill>
                <a:srgbClr val="FF00FF"/>
              </a:solidFill>
              <a:prstDash val="solid"/>
            </a:ln>
          </c:spPr>
          <c:marker>
            <c:symbol val="square"/>
            <c:size val="5"/>
            <c:spPr>
              <a:solidFill>
                <a:srgbClr val="FF00FF"/>
              </a:solidFill>
              <a:ln>
                <a:solidFill>
                  <a:srgbClr val="FF00FF"/>
                </a:solidFill>
                <a:prstDash val="solid"/>
              </a:ln>
            </c:spPr>
          </c:marker>
          <c:cat>
            <c:numRef>
              <c:f>Sheet5!$H$35:$H$39</c:f>
              <c:numCache>
                <c:formatCode>General</c:formatCode>
                <c:ptCount val="5"/>
                <c:pt idx="0">
                  <c:v>1985</c:v>
                </c:pt>
                <c:pt idx="1">
                  <c:v>1985</c:v>
                </c:pt>
                <c:pt idx="2">
                  <c:v>1985</c:v>
                </c:pt>
                <c:pt idx="3">
                  <c:v>1985</c:v>
                </c:pt>
                <c:pt idx="4">
                  <c:v>1985</c:v>
                </c:pt>
              </c:numCache>
            </c:numRef>
          </c:cat>
          <c:val>
            <c:numRef>
              <c:f>Sheet5!$F$40:$F$44</c:f>
              <c:numCache>
                <c:formatCode>General</c:formatCode>
                <c:ptCount val="5"/>
              </c:numCache>
            </c:numRef>
          </c:val>
          <c:smooth val="0"/>
          <c:extLst>
            <c:ext xmlns:c16="http://schemas.microsoft.com/office/drawing/2014/chart" uri="{C3380CC4-5D6E-409C-BE32-E72D297353CC}">
              <c16:uniqueId val="{00000001-D069-4DC8-977E-0163C0050AEA}"/>
            </c:ext>
          </c:extLst>
        </c:ser>
        <c:ser>
          <c:idx val="2"/>
          <c:order val="2"/>
          <c:tx>
            <c:v>ДП=0,1</c:v>
          </c:tx>
          <c:spPr>
            <a:ln w="12700">
              <a:solidFill>
                <a:srgbClr val="FFFF00"/>
              </a:solidFill>
              <a:prstDash val="solid"/>
            </a:ln>
          </c:spPr>
          <c:marker>
            <c:symbol val="triangle"/>
            <c:size val="5"/>
            <c:spPr>
              <a:solidFill>
                <a:srgbClr val="FFFF00"/>
              </a:solidFill>
              <a:ln>
                <a:solidFill>
                  <a:srgbClr val="FFFF00"/>
                </a:solidFill>
                <a:prstDash val="solid"/>
              </a:ln>
            </c:spPr>
          </c:marker>
          <c:cat>
            <c:numRef>
              <c:f>Sheet5!$H$35:$H$39</c:f>
              <c:numCache>
                <c:formatCode>General</c:formatCode>
                <c:ptCount val="5"/>
                <c:pt idx="0">
                  <c:v>1985</c:v>
                </c:pt>
                <c:pt idx="1">
                  <c:v>1985</c:v>
                </c:pt>
                <c:pt idx="2">
                  <c:v>1985</c:v>
                </c:pt>
                <c:pt idx="3">
                  <c:v>1985</c:v>
                </c:pt>
                <c:pt idx="4">
                  <c:v>1985</c:v>
                </c:pt>
              </c:numCache>
            </c:numRef>
          </c:cat>
          <c:val>
            <c:numRef>
              <c:f>Sheet5!$F$45:$F$49</c:f>
              <c:numCache>
                <c:formatCode>General</c:formatCode>
                <c:ptCount val="5"/>
                <c:pt idx="0">
                  <c:v>3</c:v>
                </c:pt>
                <c:pt idx="1">
                  <c:v>37</c:v>
                </c:pt>
                <c:pt idx="2">
                  <c:v>379</c:v>
                </c:pt>
                <c:pt idx="3">
                  <c:v>3798</c:v>
                </c:pt>
                <c:pt idx="4">
                  <c:v>37990</c:v>
                </c:pt>
              </c:numCache>
            </c:numRef>
          </c:val>
          <c:smooth val="0"/>
          <c:extLst>
            <c:ext xmlns:c16="http://schemas.microsoft.com/office/drawing/2014/chart" uri="{C3380CC4-5D6E-409C-BE32-E72D297353CC}">
              <c16:uniqueId val="{00000002-D069-4DC8-977E-0163C0050AEA}"/>
            </c:ext>
          </c:extLst>
        </c:ser>
        <c:ser>
          <c:idx val="3"/>
          <c:order val="3"/>
          <c:tx>
            <c:v>ДП=0,01</c:v>
          </c:tx>
          <c:spPr>
            <a:ln w="12700">
              <a:solidFill>
                <a:srgbClr val="00FFFF"/>
              </a:solidFill>
              <a:prstDash val="solid"/>
            </a:ln>
          </c:spPr>
          <c:marker>
            <c:symbol val="x"/>
            <c:size val="5"/>
            <c:spPr>
              <a:noFill/>
              <a:ln>
                <a:solidFill>
                  <a:srgbClr val="00FFFF"/>
                </a:solidFill>
                <a:prstDash val="solid"/>
              </a:ln>
            </c:spPr>
          </c:marker>
          <c:cat>
            <c:numRef>
              <c:f>Sheet5!$H$35:$H$39</c:f>
              <c:numCache>
                <c:formatCode>General</c:formatCode>
                <c:ptCount val="5"/>
                <c:pt idx="0">
                  <c:v>1985</c:v>
                </c:pt>
                <c:pt idx="1">
                  <c:v>1985</c:v>
                </c:pt>
                <c:pt idx="2">
                  <c:v>1985</c:v>
                </c:pt>
                <c:pt idx="3">
                  <c:v>1985</c:v>
                </c:pt>
                <c:pt idx="4">
                  <c:v>1985</c:v>
                </c:pt>
              </c:numCache>
            </c:numRef>
          </c:cat>
          <c:val>
            <c:numRef>
              <c:f>Sheet5!$F$50:$F$54</c:f>
              <c:numCache>
                <c:formatCode>General</c:formatCode>
                <c:ptCount val="5"/>
              </c:numCache>
            </c:numRef>
          </c:val>
          <c:smooth val="0"/>
          <c:extLst>
            <c:ext xmlns:c16="http://schemas.microsoft.com/office/drawing/2014/chart" uri="{C3380CC4-5D6E-409C-BE32-E72D297353CC}">
              <c16:uniqueId val="{00000003-D069-4DC8-977E-0163C0050AEA}"/>
            </c:ext>
          </c:extLst>
        </c:ser>
        <c:dLbls>
          <c:showLegendKey val="0"/>
          <c:showVal val="0"/>
          <c:showCatName val="0"/>
          <c:showSerName val="0"/>
          <c:showPercent val="0"/>
          <c:showBubbleSize val="0"/>
        </c:dLbls>
        <c:marker val="1"/>
        <c:smooth val="0"/>
        <c:axId val="129861400"/>
        <c:axId val="129863832"/>
      </c:lineChart>
      <c:catAx>
        <c:axId val="129861400"/>
        <c:scaling>
          <c:orientation val="minMax"/>
        </c:scaling>
        <c:delete val="0"/>
        <c:axPos val="b"/>
        <c:title>
          <c:tx>
            <c:rich>
              <a:bodyPr/>
              <a:lstStyle/>
              <a:p>
                <a:pPr>
                  <a:defRPr sz="1000" b="0" i="0" u="none" strike="noStrike" baseline="0">
                    <a:solidFill>
                      <a:srgbClr val="000000"/>
                    </a:solidFill>
                    <a:latin typeface="Times New Roman"/>
                    <a:ea typeface="Times New Roman"/>
                    <a:cs typeface="Times New Roman"/>
                  </a:defRPr>
                </a:pPr>
                <a:r>
                  <a:rPr lang="ru-RU"/>
                  <a:t>Начальная цена</a:t>
                </a:r>
              </a:p>
            </c:rich>
          </c:tx>
          <c:layout>
            <c:manualLayout>
              <c:xMode val="edge"/>
              <c:yMode val="edge"/>
              <c:x val="0.40717628705148207"/>
              <c:y val="0.88581460189448635"/>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5400000" vert="horz"/>
          <a:lstStyle/>
          <a:p>
            <a:pPr>
              <a:defRPr sz="800" b="0" i="0" u="none" strike="noStrike" baseline="0">
                <a:solidFill>
                  <a:srgbClr val="000000"/>
                </a:solidFill>
                <a:latin typeface="Arial Cyr"/>
                <a:ea typeface="Arial Cyr"/>
                <a:cs typeface="Arial Cyr"/>
              </a:defRPr>
            </a:pPr>
            <a:endParaRPr lang="ru-RU"/>
          </a:p>
        </c:txPr>
        <c:crossAx val="129863832"/>
        <c:crosses val="autoZero"/>
        <c:auto val="1"/>
        <c:lblAlgn val="ctr"/>
        <c:lblOffset val="100"/>
        <c:tickLblSkip val="1"/>
        <c:tickMarkSkip val="1"/>
        <c:noMultiLvlLbl val="0"/>
      </c:catAx>
      <c:valAx>
        <c:axId val="129863832"/>
        <c:scaling>
          <c:orientation val="minMax"/>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Times New Roman"/>
                    <a:ea typeface="Times New Roman"/>
                    <a:cs typeface="Times New Roman"/>
                  </a:defRPr>
                </a:pPr>
                <a:r>
                  <a:rPr lang="ru-RU"/>
                  <a:t>Колличество итераций</a:t>
                </a:r>
              </a:p>
            </c:rich>
          </c:tx>
          <c:layout>
            <c:manualLayout>
              <c:xMode val="edge"/>
              <c:yMode val="edge"/>
              <c:x val="3.2761310452418098E-2"/>
              <c:y val="0.25605572659818904"/>
            </c:manualLayout>
          </c:layout>
          <c:overlay val="0"/>
          <c:spPr>
            <a:noFill/>
            <a:ln w="25400">
              <a:noFill/>
            </a:ln>
          </c:spPr>
        </c:title>
        <c:numFmt formatCode="General"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Cyr"/>
                <a:ea typeface="Arial Cyr"/>
                <a:cs typeface="Arial Cyr"/>
              </a:defRPr>
            </a:pPr>
            <a:endParaRPr lang="ru-RU"/>
          </a:p>
        </c:txPr>
        <c:crossAx val="129861400"/>
        <c:crosses val="autoZero"/>
        <c:crossBetween val="between"/>
      </c:valAx>
      <c:spPr>
        <a:solidFill>
          <a:srgbClr val="C0C0C0"/>
        </a:solidFill>
        <a:ln w="12700">
          <a:solidFill>
            <a:srgbClr val="808080"/>
          </a:solidFill>
          <a:prstDash val="solid"/>
        </a:ln>
      </c:spPr>
    </c:plotArea>
    <c:legend>
      <c:legendPos val="r"/>
      <c:layout>
        <c:manualLayout>
          <c:xMode val="edge"/>
          <c:yMode val="edge"/>
          <c:x val="0.85179407176287047"/>
          <c:y val="0.20761282002379458"/>
          <c:w val="0.12480499219968799"/>
          <c:h val="0.47058896184689714"/>
        </c:manualLayout>
      </c:layout>
      <c:overlay val="0"/>
      <c:spPr>
        <a:solidFill>
          <a:srgbClr val="FFFFFF"/>
        </a:solidFill>
        <a:ln w="3175">
          <a:solidFill>
            <a:srgbClr val="000000"/>
          </a:solidFill>
          <a:prstDash val="solid"/>
        </a:ln>
      </c:spPr>
      <c:txPr>
        <a:bodyPr/>
        <a:lstStyle/>
        <a:p>
          <a:pPr>
            <a:defRPr sz="735" b="0" i="0" u="none" strike="noStrike" baseline="0">
              <a:solidFill>
                <a:srgbClr val="000000"/>
              </a:solidFill>
              <a:latin typeface="Arial Cyr"/>
              <a:ea typeface="Arial Cyr"/>
              <a:cs typeface="Arial Cyr"/>
            </a:defRPr>
          </a:pPr>
          <a:endParaRPr lang="ru-RU"/>
        </a:p>
      </c:txPr>
    </c:legend>
    <c:plotVisOnly val="1"/>
    <c:dispBlanksAs val="gap"/>
    <c:showDLblsOverMax val="0"/>
  </c:chart>
  <c:spPr>
    <a:solidFill>
      <a:srgbClr val="FFFFFF"/>
    </a:solidFill>
    <a:ln w="3175">
      <a:solidFill>
        <a:srgbClr val="000000"/>
      </a:solidFill>
      <a:prstDash val="solid"/>
    </a:ln>
  </c:spPr>
  <c:txPr>
    <a:bodyPr/>
    <a:lstStyle/>
    <a:p>
      <a:pPr>
        <a:defRPr sz="975" b="0" i="0" u="none" strike="noStrike" baseline="0">
          <a:solidFill>
            <a:srgbClr val="000000"/>
          </a:solidFill>
          <a:latin typeface="Arial Cyr"/>
          <a:ea typeface="Arial Cyr"/>
          <a:cs typeface="Arial Cyr"/>
        </a:defRPr>
      </a:pPr>
      <a:endParaRPr lang="ru-RU"/>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List" dx="16" fmlaLink="$E$8" fmlaRange="$H$7:$H$27" noThreeD="1" sel="3" val="0"/>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Lines="11" dropStyle="combo" dx="16" fmlaLink="I5" fmlaRange="$J$12:$J$22" sel="0" val="0"/>
</file>

<file path=xl/ctrlProps/ctrlProp4.xml><?xml version="1.0" encoding="utf-8"?>
<formControlPr xmlns="http://schemas.microsoft.com/office/spreadsheetml/2009/9/main" objectType="List" dx="16" fmlaLink="H5" fmlaRange="G4:G5" noThreeD="1" sel="2" val="0"/>
</file>

<file path=xl/ctrlProps/ctrlProp5.xml><?xml version="1.0" encoding="utf-8"?>
<formControlPr xmlns="http://schemas.microsoft.com/office/spreadsheetml/2009/9/main" objectType="Drop" dropLines="11" dropStyle="combo" dx="16" fmlaLink="$K$5" fmlaRange="$J$12:$J$22" sel="5" val="0"/>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12</xdr:col>
      <xdr:colOff>133350</xdr:colOff>
      <xdr:row>4</xdr:row>
      <xdr:rowOff>28575</xdr:rowOff>
    </xdr:from>
    <xdr:to>
      <xdr:col>21</xdr:col>
      <xdr:colOff>38100</xdr:colOff>
      <xdr:row>28</xdr:row>
      <xdr:rowOff>152400</xdr:rowOff>
    </xdr:to>
    <xdr:graphicFrame macro="">
      <xdr:nvGraphicFramePr>
        <xdr:cNvPr id="3075" name="Chart 229">
          <a:extLst>
            <a:ext uri="{FF2B5EF4-FFF2-40B4-BE49-F238E27FC236}">
              <a16:creationId xmlns:a16="http://schemas.microsoft.com/office/drawing/2014/main" id="{00000000-0008-0000-0100-000003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8</xdr:row>
          <xdr:rowOff>0</xdr:rowOff>
        </xdr:from>
        <xdr:to>
          <xdr:col>5</xdr:col>
          <xdr:colOff>0</xdr:colOff>
          <xdr:row>24</xdr:row>
          <xdr:rowOff>57150</xdr:rowOff>
        </xdr:to>
        <xdr:sp macro="" textlink="">
          <xdr:nvSpPr>
            <xdr:cNvPr id="2054" name="List Box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11</xdr:row>
          <xdr:rowOff>142875</xdr:rowOff>
        </xdr:from>
        <xdr:to>
          <xdr:col>6</xdr:col>
          <xdr:colOff>590550</xdr:colOff>
          <xdr:row>20</xdr:row>
          <xdr:rowOff>9525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a:cs typeface="Arial"/>
                </a:rPr>
                <a:t>Automatic Scanning of</a:t>
              </a:r>
            </a:p>
            <a:p>
              <a:pPr algn="ctr" rtl="0">
                <a:defRPr sz="1000"/>
              </a:pPr>
              <a:r>
                <a:rPr lang="ru-RU" sz="1000" b="0" i="0" u="none" strike="noStrike" baseline="0">
                  <a:solidFill>
                    <a:srgbClr val="000000"/>
                  </a:solidFill>
                  <a:latin typeface="Arial"/>
                  <a:cs typeface="Arial"/>
                </a:rPr>
                <a:t> SIGMA values with automatic composing of conclusion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9525</xdr:colOff>
          <xdr:row>4</xdr:row>
          <xdr:rowOff>219075</xdr:rowOff>
        </xdr:to>
        <xdr:sp macro="" textlink="">
          <xdr:nvSpPr>
            <xdr:cNvPr id="1130" name="Drop Down 106" hidden="1">
              <a:extLst>
                <a:ext uri="{63B3BB69-23CF-44E3-9099-C40C66FF867C}">
                  <a14:compatExt spid="_x0000_s1130"/>
                </a:ext>
                <a:ext uri="{FF2B5EF4-FFF2-40B4-BE49-F238E27FC236}">
                  <a16:creationId xmlns:a16="http://schemas.microsoft.com/office/drawing/2014/main" id="{00000000-0008-0000-0300-00006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2</xdr:row>
          <xdr:rowOff>161925</xdr:rowOff>
        </xdr:from>
        <xdr:to>
          <xdr:col>8</xdr:col>
          <xdr:colOff>0</xdr:colOff>
          <xdr:row>4</xdr:row>
          <xdr:rowOff>219075</xdr:rowOff>
        </xdr:to>
        <xdr:sp macro="" textlink="">
          <xdr:nvSpPr>
            <xdr:cNvPr id="1189" name="List Box 165" hidden="1">
              <a:extLst>
                <a:ext uri="{63B3BB69-23CF-44E3-9099-C40C66FF867C}">
                  <a14:compatExt spid="_x0000_s1189"/>
                </a:ext>
                <a:ext uri="{FF2B5EF4-FFF2-40B4-BE49-F238E27FC236}">
                  <a16:creationId xmlns:a16="http://schemas.microsoft.com/office/drawing/2014/main" id="{00000000-0008-0000-0300-0000A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xdr:row>
          <xdr:rowOff>0</xdr:rowOff>
        </xdr:from>
        <xdr:to>
          <xdr:col>9</xdr:col>
          <xdr:colOff>9525</xdr:colOff>
          <xdr:row>4</xdr:row>
          <xdr:rowOff>219075</xdr:rowOff>
        </xdr:to>
        <xdr:sp macro="" textlink="">
          <xdr:nvSpPr>
            <xdr:cNvPr id="1214" name="Drop Down 190" hidden="1">
              <a:extLst>
                <a:ext uri="{63B3BB69-23CF-44E3-9099-C40C66FF867C}">
                  <a14:compatExt spid="_x0000_s1214"/>
                </a:ext>
                <a:ext uri="{FF2B5EF4-FFF2-40B4-BE49-F238E27FC236}">
                  <a16:creationId xmlns:a16="http://schemas.microsoft.com/office/drawing/2014/main" id="{00000000-0008-0000-0300-0000B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13</xdr:col>
          <xdr:colOff>66675</xdr:colOff>
          <xdr:row>16</xdr:row>
          <xdr:rowOff>104775</xdr:rowOff>
        </xdr:from>
        <xdr:to>
          <xdr:col>14</xdr:col>
          <xdr:colOff>657225</xdr:colOff>
          <xdr:row>21</xdr:row>
          <xdr:rowOff>47625</xdr:rowOff>
        </xdr:to>
        <xdr:sp macro="" textlink="">
          <xdr:nvSpPr>
            <xdr:cNvPr id="1219" name="Button 195" hidden="1">
              <a:extLst>
                <a:ext uri="{63B3BB69-23CF-44E3-9099-C40C66FF867C}">
                  <a14:compatExt spid="_x0000_s1219"/>
                </a:ext>
                <a:ext uri="{FF2B5EF4-FFF2-40B4-BE49-F238E27FC236}">
                  <a16:creationId xmlns:a16="http://schemas.microsoft.com/office/drawing/2014/main" id="{00000000-0008-0000-0300-0000C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Elapsed Time for given Tolerance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57150</xdr:colOff>
          <xdr:row>10</xdr:row>
          <xdr:rowOff>57150</xdr:rowOff>
        </xdr:from>
        <xdr:to>
          <xdr:col>14</xdr:col>
          <xdr:colOff>676275</xdr:colOff>
          <xdr:row>12</xdr:row>
          <xdr:rowOff>47625</xdr:rowOff>
        </xdr:to>
        <xdr:sp macro="" textlink="">
          <xdr:nvSpPr>
            <xdr:cNvPr id="1223" name="Button 199" hidden="1">
              <a:extLst>
                <a:ext uri="{63B3BB69-23CF-44E3-9099-C40C66FF867C}">
                  <a14:compatExt spid="_x0000_s1223"/>
                </a:ext>
                <a:ext uri="{FF2B5EF4-FFF2-40B4-BE49-F238E27FC236}">
                  <a16:creationId xmlns:a16="http://schemas.microsoft.com/office/drawing/2014/main" id="{00000000-0008-0000-0300-0000C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ru-RU" sz="1000" b="0" i="0" u="none" strike="noStrike" baseline="0">
                  <a:solidFill>
                    <a:srgbClr val="000000"/>
                  </a:solidFill>
                  <a:latin typeface="Arial Cyr"/>
                  <a:cs typeface="Arial Cyr"/>
                </a:rPr>
                <a:t>Elapsed Time for given Number of Iterations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11</xdr:col>
      <xdr:colOff>266700</xdr:colOff>
      <xdr:row>65</xdr:row>
      <xdr:rowOff>47625</xdr:rowOff>
    </xdr:from>
    <xdr:to>
      <xdr:col>21</xdr:col>
      <xdr:colOff>314325</xdr:colOff>
      <xdr:row>83</xdr:row>
      <xdr:rowOff>38100</xdr:rowOff>
    </xdr:to>
    <xdr:graphicFrame macro="">
      <xdr:nvGraphicFramePr>
        <xdr:cNvPr id="4099" name="Chart 13">
          <a:extLst>
            <a:ext uri="{FF2B5EF4-FFF2-40B4-BE49-F238E27FC236}">
              <a16:creationId xmlns:a16="http://schemas.microsoft.com/office/drawing/2014/main" id="{00000000-0008-0000-0400-000003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190500</xdr:colOff>
      <xdr:row>71</xdr:row>
      <xdr:rowOff>66675</xdr:rowOff>
    </xdr:from>
    <xdr:to>
      <xdr:col>21</xdr:col>
      <xdr:colOff>200025</xdr:colOff>
      <xdr:row>89</xdr:row>
      <xdr:rowOff>66675</xdr:rowOff>
    </xdr:to>
    <xdr:graphicFrame macro="">
      <xdr:nvGraphicFramePr>
        <xdr:cNvPr id="4100" name="Chart 14">
          <a:extLst>
            <a:ext uri="{FF2B5EF4-FFF2-40B4-BE49-F238E27FC236}">
              <a16:creationId xmlns:a16="http://schemas.microsoft.com/office/drawing/2014/main" id="{00000000-0008-0000-0400-0000041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4.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 Id="rId9" Type="http://schemas.openxmlformats.org/officeDocument/2006/relationships/comments" Target="../comments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omments" Target="../comments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orksheet____1"/>
  <dimension ref="A1:K67"/>
  <sheetViews>
    <sheetView workbookViewId="0">
      <selection activeCell="I4" sqref="I4"/>
    </sheetView>
  </sheetViews>
  <sheetFormatPr defaultRowHeight="12.75" x14ac:dyDescent="0.2"/>
  <cols>
    <col min="1" max="1" width="4.42578125" customWidth="1"/>
    <col min="2" max="2" width="10" customWidth="1"/>
    <col min="3" max="3" width="9.28515625" customWidth="1"/>
    <col min="4" max="4" width="7.140625" customWidth="1"/>
    <col min="5" max="5" width="9.85546875" customWidth="1"/>
    <col min="6" max="6" width="8" bestFit="1" customWidth="1"/>
    <col min="7" max="7" width="21.5703125" customWidth="1"/>
    <col min="8" max="8" width="36.7109375" customWidth="1"/>
    <col min="9" max="9" width="14.85546875" customWidth="1"/>
    <col min="10" max="10" width="14.28515625" customWidth="1"/>
    <col min="11" max="11" width="9.5703125" customWidth="1"/>
  </cols>
  <sheetData>
    <row r="1" spans="1:11" x14ac:dyDescent="0.2">
      <c r="A1" s="105" t="s">
        <v>75</v>
      </c>
    </row>
    <row r="2" spans="1:11" ht="13.5" thickBot="1" x14ac:dyDescent="0.25">
      <c r="A2" t="s">
        <v>76</v>
      </c>
    </row>
    <row r="3" spans="1:11" x14ac:dyDescent="0.2">
      <c r="A3" s="106" t="s">
        <v>0</v>
      </c>
      <c r="B3" s="107" t="s">
        <v>39</v>
      </c>
      <c r="C3" s="107" t="s">
        <v>40</v>
      </c>
      <c r="D3" s="107" t="s">
        <v>41</v>
      </c>
      <c r="E3" s="107" t="s">
        <v>42</v>
      </c>
      <c r="F3" s="107" t="s">
        <v>43</v>
      </c>
      <c r="G3" s="107" t="s">
        <v>48</v>
      </c>
      <c r="H3" s="107" t="s">
        <v>80</v>
      </c>
      <c r="I3" s="107" t="s">
        <v>44</v>
      </c>
      <c r="J3" s="107" t="s">
        <v>45</v>
      </c>
      <c r="K3" s="108" t="s">
        <v>31</v>
      </c>
    </row>
    <row r="4" spans="1:11" x14ac:dyDescent="0.2">
      <c r="A4" s="64">
        <v>0</v>
      </c>
      <c r="B4" s="65">
        <v>1E+20</v>
      </c>
      <c r="C4" s="64">
        <v>0</v>
      </c>
      <c r="D4" s="64">
        <v>400</v>
      </c>
      <c r="E4" s="64">
        <v>1.1100000000000001</v>
      </c>
      <c r="F4" s="66">
        <v>1.0000000000000001E-5</v>
      </c>
      <c r="G4" s="65">
        <v>400000</v>
      </c>
      <c r="H4" s="67" t="s">
        <v>77</v>
      </c>
      <c r="I4" s="68">
        <f>2*E4*D4/(2*E4-1)</f>
        <v>727.86885245901635</v>
      </c>
      <c r="J4" s="69">
        <f t="shared" ref="J4:J67" si="0">(K4*D4/G4)^(1/(2*E4))</f>
        <v>45462954.695323914</v>
      </c>
      <c r="K4" s="70">
        <f>B4/((1+C4)^(2*E4))</f>
        <v>1E+20</v>
      </c>
    </row>
    <row r="5" spans="1:11" x14ac:dyDescent="0.2">
      <c r="A5" s="1">
        <v>1</v>
      </c>
      <c r="B5" s="109">
        <v>1.3200635000000001E+52</v>
      </c>
      <c r="C5" s="1">
        <v>1.6240000000000001</v>
      </c>
      <c r="D5" s="1">
        <v>1620</v>
      </c>
      <c r="E5" s="1">
        <v>2.6207999999996998</v>
      </c>
      <c r="F5" s="1">
        <v>1.0000000000000001E-5</v>
      </c>
      <c r="G5" s="109">
        <v>2640000000</v>
      </c>
      <c r="H5" s="113" t="s">
        <v>81</v>
      </c>
      <c r="I5" s="110">
        <f t="shared" ref="I5:I67" si="1">2*E5*D5/(2*E5-1)</f>
        <v>2001.9313466616909</v>
      </c>
      <c r="J5" s="111">
        <f t="shared" si="0"/>
        <v>218538053.75470608</v>
      </c>
      <c r="K5" s="112">
        <f t="shared" ref="K5:K67" si="2">B5/((1+C5)^(2*E5))</f>
        <v>8.4053152720951695E+49</v>
      </c>
    </row>
    <row r="6" spans="1:11" x14ac:dyDescent="0.2">
      <c r="A6" s="1">
        <v>2</v>
      </c>
      <c r="B6" s="109">
        <v>1.330064E+52</v>
      </c>
      <c r="C6" s="1">
        <v>1.6359999999999999</v>
      </c>
      <c r="D6" s="1">
        <v>1630</v>
      </c>
      <c r="E6" s="1">
        <v>2.6318999999996899</v>
      </c>
      <c r="F6" s="1">
        <v>1.0000000000000001E-5</v>
      </c>
      <c r="G6" s="109">
        <v>2660000000</v>
      </c>
      <c r="H6" s="114" t="s">
        <v>82</v>
      </c>
      <c r="I6" s="110">
        <f t="shared" si="1"/>
        <v>2012.2880998171202</v>
      </c>
      <c r="J6" s="111">
        <f t="shared" si="0"/>
        <v>200038882.17951778</v>
      </c>
      <c r="K6" s="112">
        <f t="shared" si="2"/>
        <v>8.0928242897250526E+49</v>
      </c>
    </row>
    <row r="7" spans="1:11" x14ac:dyDescent="0.2">
      <c r="A7" s="1">
        <v>3</v>
      </c>
      <c r="B7" s="109">
        <v>1.3400645000000001E+52</v>
      </c>
      <c r="C7" s="1">
        <v>1.6479999999999999</v>
      </c>
      <c r="D7" s="1">
        <v>1640</v>
      </c>
      <c r="E7" s="1">
        <v>2.64299999999968</v>
      </c>
      <c r="F7" s="1">
        <v>1.0000000000000001E-5</v>
      </c>
      <c r="G7" s="109">
        <v>2680000000</v>
      </c>
      <c r="H7" s="114" t="s">
        <v>83</v>
      </c>
      <c r="I7" s="110">
        <f t="shared" si="1"/>
        <v>2022.6411572562401</v>
      </c>
      <c r="J7" s="111">
        <f t="shared" si="0"/>
        <v>183237213.80570087</v>
      </c>
      <c r="K7" s="112">
        <f t="shared" si="2"/>
        <v>7.7907856562055439E+49</v>
      </c>
    </row>
    <row r="8" spans="1:11" x14ac:dyDescent="0.2">
      <c r="A8" s="139">
        <v>4</v>
      </c>
      <c r="B8" s="140">
        <v>1.350065E+52</v>
      </c>
      <c r="C8" s="139">
        <v>1.66</v>
      </c>
      <c r="D8" s="139">
        <v>1650</v>
      </c>
      <c r="E8" s="139">
        <v>2.6540999999996702</v>
      </c>
      <c r="F8" s="139">
        <v>1.0000000000000001E-5</v>
      </c>
      <c r="G8" s="140">
        <v>2700000000</v>
      </c>
      <c r="H8" s="141" t="s">
        <v>84</v>
      </c>
      <c r="I8" s="142">
        <f t="shared" si="1"/>
        <v>2032.9905761107311</v>
      </c>
      <c r="J8" s="143">
        <f t="shared" si="0"/>
        <v>167965856.18716684</v>
      </c>
      <c r="K8" s="144">
        <f t="shared" si="2"/>
        <v>7.4989071261342963E+49</v>
      </c>
    </row>
    <row r="9" spans="1:11" x14ac:dyDescent="0.2">
      <c r="A9" s="1">
        <v>5</v>
      </c>
      <c r="B9" s="109">
        <v>1.3600655000000001E+52</v>
      </c>
      <c r="C9" s="1">
        <v>1.6719999999999999</v>
      </c>
      <c r="D9" s="1">
        <v>1660</v>
      </c>
      <c r="E9" s="1">
        <v>2.6651999999996598</v>
      </c>
      <c r="F9" s="1">
        <v>1.0000000000000001E-5</v>
      </c>
      <c r="G9" s="109">
        <v>2720000000</v>
      </c>
      <c r="H9" s="114" t="s">
        <v>85</v>
      </c>
      <c r="I9" s="110">
        <f t="shared" si="1"/>
        <v>2043.3364123407216</v>
      </c>
      <c r="J9" s="111">
        <f t="shared" si="0"/>
        <v>154075158.52451628</v>
      </c>
      <c r="K9" s="112">
        <f t="shared" si="2"/>
        <v>7.2169017166676157E+49</v>
      </c>
    </row>
    <row r="10" spans="1:11" x14ac:dyDescent="0.2">
      <c r="A10" s="1">
        <v>6</v>
      </c>
      <c r="B10" s="109">
        <v>1.370066E+52</v>
      </c>
      <c r="C10" s="1">
        <v>1.6839999999999999</v>
      </c>
      <c r="D10" s="1">
        <v>1670</v>
      </c>
      <c r="E10" s="1">
        <v>2.67629999999965</v>
      </c>
      <c r="F10" s="1">
        <v>1.0000000000000001E-5</v>
      </c>
      <c r="G10" s="109">
        <v>2740000000</v>
      </c>
      <c r="H10" s="114" t="s">
        <v>86</v>
      </c>
      <c r="I10" s="110">
        <f t="shared" si="1"/>
        <v>2053.6787207646621</v>
      </c>
      <c r="J10" s="111">
        <f t="shared" si="0"/>
        <v>141431062.99647093</v>
      </c>
      <c r="K10" s="112">
        <f t="shared" si="2"/>
        <v>6.9444877767578047E+49</v>
      </c>
    </row>
    <row r="11" spans="1:11" x14ac:dyDescent="0.2">
      <c r="A11" s="1">
        <v>7</v>
      </c>
      <c r="B11" s="109">
        <v>1.3800665000000001E+52</v>
      </c>
      <c r="C11" s="1">
        <v>1.696</v>
      </c>
      <c r="D11" s="1">
        <v>1680</v>
      </c>
      <c r="E11" s="1">
        <v>2.6873999999996401</v>
      </c>
      <c r="F11" s="1">
        <v>1.0000000000000001E-5</v>
      </c>
      <c r="G11" s="109">
        <v>2760000000</v>
      </c>
      <c r="H11" s="114" t="s">
        <v>87</v>
      </c>
      <c r="I11" s="110">
        <f t="shared" si="1"/>
        <v>2064.0175550882959</v>
      </c>
      <c r="J11" s="111">
        <f t="shared" si="0"/>
        <v>129913384.15759315</v>
      </c>
      <c r="K11" s="112">
        <f t="shared" si="2"/>
        <v>6.681389043604658E+49</v>
      </c>
    </row>
    <row r="12" spans="1:11" x14ac:dyDescent="0.2">
      <c r="A12" s="1">
        <v>8</v>
      </c>
      <c r="B12" s="109">
        <v>1.390067E+52</v>
      </c>
      <c r="C12" s="1">
        <v>1.708</v>
      </c>
      <c r="D12" s="1">
        <v>1690</v>
      </c>
      <c r="E12" s="1">
        <v>2.6984999999996302</v>
      </c>
      <c r="F12" s="1">
        <v>1.0000000000000001E-5</v>
      </c>
      <c r="G12" s="109">
        <v>2780000000</v>
      </c>
      <c r="H12" s="114" t="s">
        <v>88</v>
      </c>
      <c r="I12" s="110">
        <f t="shared" si="1"/>
        <v>2074.3529679327462</v>
      </c>
      <c r="J12" s="111">
        <f t="shared" si="0"/>
        <v>119414288.39739411</v>
      </c>
      <c r="K12" s="112">
        <f t="shared" si="2"/>
        <v>6.4273346870814807E+49</v>
      </c>
    </row>
    <row r="13" spans="1:11" x14ac:dyDescent="0.2">
      <c r="A13" s="1">
        <v>9</v>
      </c>
      <c r="B13" s="109">
        <v>1.4000675000000001E+52</v>
      </c>
      <c r="C13" s="1">
        <v>1.72</v>
      </c>
      <c r="D13" s="1">
        <v>1700</v>
      </c>
      <c r="E13" s="1">
        <v>2.7095999999996199</v>
      </c>
      <c r="F13" s="1">
        <v>1.0000000000000001E-5</v>
      </c>
      <c r="G13" s="109">
        <v>2800000000</v>
      </c>
      <c r="H13" s="114" t="s">
        <v>89</v>
      </c>
      <c r="I13" s="110">
        <f t="shared" si="1"/>
        <v>2084.6850108617605</v>
      </c>
      <c r="J13" s="111">
        <f t="shared" si="0"/>
        <v>109836949.05110747</v>
      </c>
      <c r="K13" s="112">
        <f t="shared" si="2"/>
        <v>6.1820593428670233E+49</v>
      </c>
    </row>
    <row r="14" spans="1:11" x14ac:dyDescent="0.2">
      <c r="A14" s="1">
        <v>10</v>
      </c>
      <c r="B14" s="109">
        <v>1.410068E+52</v>
      </c>
      <c r="C14" s="1">
        <v>1.732</v>
      </c>
      <c r="D14" s="1">
        <v>1710</v>
      </c>
      <c r="E14" s="1">
        <v>2.72069999999961</v>
      </c>
      <c r="F14" s="1">
        <v>1.0000000000000001E-5</v>
      </c>
      <c r="G14" s="109">
        <v>2820000000</v>
      </c>
      <c r="H14" s="114" t="s">
        <v>90</v>
      </c>
      <c r="I14" s="110">
        <f t="shared" si="1"/>
        <v>2095.0137344081372</v>
      </c>
      <c r="J14" s="111">
        <f t="shared" si="0"/>
        <v>101094355.8665393</v>
      </c>
      <c r="K14" s="112">
        <f t="shared" si="2"/>
        <v>5.9453031349840186E+49</v>
      </c>
    </row>
    <row r="15" spans="1:11" x14ac:dyDescent="0.2">
      <c r="A15" s="1">
        <v>11</v>
      </c>
      <c r="B15" s="109">
        <v>1.4200685000000001E+52</v>
      </c>
      <c r="C15" s="1">
        <v>1.744</v>
      </c>
      <c r="D15" s="1">
        <v>1720</v>
      </c>
      <c r="E15" s="1">
        <v>2.7317999999996001</v>
      </c>
      <c r="F15" s="1">
        <v>1.0000000000000001E-5</v>
      </c>
      <c r="G15" s="109">
        <v>2840000000</v>
      </c>
      <c r="H15" s="114" t="s">
        <v>91</v>
      </c>
      <c r="I15" s="110">
        <f t="shared" si="1"/>
        <v>2105.3391880993613</v>
      </c>
      <c r="J15" s="111">
        <f t="shared" si="0"/>
        <v>93108260.231389597</v>
      </c>
      <c r="K15" s="112">
        <f t="shared" si="2"/>
        <v>5.716811688416956E+49</v>
      </c>
    </row>
    <row r="16" spans="1:11" x14ac:dyDescent="0.2">
      <c r="A16" s="1">
        <v>12</v>
      </c>
      <c r="B16" s="109">
        <v>1.4300689999999999E+52</v>
      </c>
      <c r="C16" s="1">
        <v>1.756</v>
      </c>
      <c r="D16" s="1">
        <v>1730</v>
      </c>
      <c r="E16" s="1">
        <v>2.7428999999995902</v>
      </c>
      <c r="F16" s="1">
        <v>1.0000000000000001E-5</v>
      </c>
      <c r="G16" s="109">
        <v>2860000000</v>
      </c>
      <c r="H16" s="114" t="s">
        <v>92</v>
      </c>
      <c r="I16" s="110">
        <f t="shared" si="1"/>
        <v>2115.6614204824818</v>
      </c>
      <c r="J16" s="111">
        <f t="shared" si="0"/>
        <v>85808239.90851143</v>
      </c>
      <c r="K16" s="112">
        <f t="shared" si="2"/>
        <v>5.4963361324529225E+49</v>
      </c>
    </row>
    <row r="17" spans="1:11" x14ac:dyDescent="0.2">
      <c r="A17" s="1">
        <v>13</v>
      </c>
      <c r="B17" s="109">
        <v>1.4400695000000001E+52</v>
      </c>
      <c r="C17" s="1">
        <v>1.768</v>
      </c>
      <c r="D17" s="1">
        <v>1740</v>
      </c>
      <c r="E17" s="1">
        <v>2.7539999999995799</v>
      </c>
      <c r="F17" s="1">
        <v>1.0000000000000001E-5</v>
      </c>
      <c r="G17" s="109">
        <v>2880000000</v>
      </c>
      <c r="H17" s="114" t="s">
        <v>93</v>
      </c>
      <c r="I17" s="110">
        <f t="shared" si="1"/>
        <v>2125.9804791482529</v>
      </c>
      <c r="J17" s="111">
        <f t="shared" si="0"/>
        <v>79130869.06186147</v>
      </c>
      <c r="K17" s="112">
        <f t="shared" si="2"/>
        <v>5.2836330953624458E+49</v>
      </c>
    </row>
    <row r="18" spans="1:11" x14ac:dyDescent="0.2">
      <c r="A18" s="1">
        <v>14</v>
      </c>
      <c r="B18" s="109">
        <v>1.4500699999999999E+52</v>
      </c>
      <c r="C18" s="1">
        <v>1.78</v>
      </c>
      <c r="D18" s="1">
        <v>1750</v>
      </c>
      <c r="E18" s="1">
        <v>2.76509999999957</v>
      </c>
      <c r="F18" s="1">
        <v>1.0000000000000001E-5</v>
      </c>
      <c r="G18" s="109">
        <v>2900000000</v>
      </c>
      <c r="H18" s="114" t="s">
        <v>94</v>
      </c>
      <c r="I18" s="110">
        <f t="shared" si="1"/>
        <v>2136.2964107545654</v>
      </c>
      <c r="J18" s="111">
        <f t="shared" si="0"/>
        <v>73018981.125346139</v>
      </c>
      <c r="K18" s="112">
        <f t="shared" si="2"/>
        <v>5.0784646910099324E+49</v>
      </c>
    </row>
    <row r="19" spans="1:11" x14ac:dyDescent="0.2">
      <c r="A19" s="1">
        <v>15</v>
      </c>
      <c r="B19" s="109">
        <v>1.4600705000000001E+52</v>
      </c>
      <c r="C19" s="1">
        <v>1.792</v>
      </c>
      <c r="D19" s="1">
        <v>1760</v>
      </c>
      <c r="E19" s="1">
        <v>2.7761999999995601</v>
      </c>
      <c r="F19" s="1">
        <v>1.0000000000000001E-5</v>
      </c>
      <c r="G19" s="109">
        <v>2920000000</v>
      </c>
      <c r="H19" s="114" t="s">
        <v>95</v>
      </c>
      <c r="I19" s="110">
        <f t="shared" si="1"/>
        <v>2146.6092610491919</v>
      </c>
      <c r="J19" s="111">
        <f t="shared" si="0"/>
        <v>67421013.606579453</v>
      </c>
      <c r="K19" s="112">
        <f t="shared" si="2"/>
        <v>4.8805984979582545E+49</v>
      </c>
    </row>
    <row r="20" spans="1:11" x14ac:dyDescent="0.2">
      <c r="A20" s="1">
        <v>16</v>
      </c>
      <c r="B20" s="109">
        <v>1.4700709999999999E+52</v>
      </c>
      <c r="C20" s="1">
        <v>1.804</v>
      </c>
      <c r="D20" s="1">
        <v>1770</v>
      </c>
      <c r="E20" s="1">
        <v>2.7872999999995498</v>
      </c>
      <c r="F20" s="1">
        <v>1.0000000000000001E-5</v>
      </c>
      <c r="G20" s="109">
        <v>2940000000</v>
      </c>
      <c r="H20" s="114" t="s">
        <v>96</v>
      </c>
      <c r="I20" s="110">
        <f t="shared" si="1"/>
        <v>2156.91907489187</v>
      </c>
      <c r="J20" s="111">
        <f t="shared" si="0"/>
        <v>62290425.258676298</v>
      </c>
      <c r="K20" s="112">
        <f t="shared" si="2"/>
        <v>4.6898075316055839E+49</v>
      </c>
    </row>
    <row r="21" spans="1:11" x14ac:dyDescent="0.2">
      <c r="A21" s="1">
        <v>17</v>
      </c>
      <c r="B21" s="109">
        <v>1.4800715000000001E+52</v>
      </c>
      <c r="C21" s="1">
        <v>1.8160000000000001</v>
      </c>
      <c r="D21" s="1">
        <v>1780</v>
      </c>
      <c r="E21" s="1">
        <v>2.7983999999995399</v>
      </c>
      <c r="F21" s="1">
        <v>1.0000000000000001E-5</v>
      </c>
      <c r="G21" s="109">
        <v>2960000000</v>
      </c>
      <c r="H21" s="113" t="s">
        <v>97</v>
      </c>
      <c r="I21" s="110">
        <f t="shared" si="1"/>
        <v>2167.2258962757478</v>
      </c>
      <c r="J21" s="111">
        <f t="shared" si="0"/>
        <v>57585177.222318016</v>
      </c>
      <c r="K21" s="112">
        <f t="shared" si="2"/>
        <v>4.5058702098693396E+49</v>
      </c>
    </row>
    <row r="22" spans="1:11" x14ac:dyDescent="0.2">
      <c r="A22" s="1">
        <v>18</v>
      </c>
      <c r="B22" s="109">
        <v>1.4900719999999999E+52</v>
      </c>
      <c r="C22" s="1">
        <v>1.8280000000000001</v>
      </c>
      <c r="D22" s="1">
        <v>1790</v>
      </c>
      <c r="E22" s="1">
        <v>2.80949999999953</v>
      </c>
      <c r="F22" s="1">
        <v>1.0000000000000001E-5</v>
      </c>
      <c r="G22" s="109">
        <v>2980000000</v>
      </c>
      <c r="H22" s="114" t="s">
        <v>98</v>
      </c>
      <c r="I22" s="110">
        <f t="shared" si="1"/>
        <v>2177.5297683482063</v>
      </c>
      <c r="J22" s="111">
        <f t="shared" si="0"/>
        <v>53267270.760383531</v>
      </c>
      <c r="K22" s="112">
        <f t="shared" si="2"/>
        <v>4.3285703129072406E+49</v>
      </c>
    </row>
    <row r="23" spans="1:11" x14ac:dyDescent="0.2">
      <c r="A23" s="1">
        <v>19</v>
      </c>
      <c r="B23" s="109">
        <v>1.5000725000000001E+52</v>
      </c>
      <c r="C23" s="1">
        <v>1.84</v>
      </c>
      <c r="D23" s="1">
        <v>1800</v>
      </c>
      <c r="E23" s="1">
        <v>2.8205999999995202</v>
      </c>
      <c r="F23" s="1">
        <v>1.0000000000000001E-5</v>
      </c>
      <c r="G23" s="109">
        <v>3000000000</v>
      </c>
      <c r="H23" s="114" t="s">
        <v>99</v>
      </c>
      <c r="I23" s="110">
        <f t="shared" si="1"/>
        <v>2187.8307334310894</v>
      </c>
      <c r="J23" s="111">
        <f t="shared" si="0"/>
        <v>49302335.098193392</v>
      </c>
      <c r="K23" s="112">
        <f t="shared" si="2"/>
        <v>4.1576969373433267E+49</v>
      </c>
    </row>
    <row r="24" spans="1:11" x14ac:dyDescent="0.2">
      <c r="A24" s="1">
        <v>20</v>
      </c>
      <c r="B24" s="109">
        <v>1.5100729999999999E+52</v>
      </c>
      <c r="C24" s="1">
        <v>1.8520000000000001</v>
      </c>
      <c r="D24" s="1">
        <v>1810</v>
      </c>
      <c r="E24" s="1">
        <v>2.8316999999995098</v>
      </c>
      <c r="F24" s="1">
        <v>1.0000000000000001E-5</v>
      </c>
      <c r="G24" s="109">
        <v>3020000000</v>
      </c>
      <c r="H24" s="114" t="s">
        <v>100</v>
      </c>
      <c r="I24" s="110">
        <f t="shared" si="1"/>
        <v>2198.1288330403527</v>
      </c>
      <c r="J24" s="111">
        <f t="shared" si="0"/>
        <v>45659259.660966493</v>
      </c>
      <c r="K24" s="112">
        <f t="shared" si="2"/>
        <v>3.9930444454436875E+49</v>
      </c>
    </row>
    <row r="25" spans="1:11" x14ac:dyDescent="0.2">
      <c r="A25" s="1">
        <v>21</v>
      </c>
      <c r="B25" s="109">
        <v>1.5200735E+52</v>
      </c>
      <c r="C25" s="1">
        <v>1.8640000000000001</v>
      </c>
      <c r="D25" s="1">
        <v>1820</v>
      </c>
      <c r="E25" s="1">
        <v>2.8427999999994999</v>
      </c>
      <c r="F25" s="1">
        <v>1.0000000000000001E-5</v>
      </c>
      <c r="G25" s="109">
        <v>3040000000</v>
      </c>
      <c r="H25" s="114" t="s">
        <v>101</v>
      </c>
      <c r="I25" s="110">
        <f t="shared" si="1"/>
        <v>2208.424107905154</v>
      </c>
      <c r="J25" s="111">
        <f t="shared" si="0"/>
        <v>42309865.681083828</v>
      </c>
      <c r="K25" s="112">
        <f t="shared" si="2"/>
        <v>3.8344124096657693E+49</v>
      </c>
    </row>
    <row r="26" spans="1:11" x14ac:dyDescent="0.2">
      <c r="A26" s="1">
        <v>22</v>
      </c>
      <c r="B26" s="109">
        <v>1.5300739999999999E+52</v>
      </c>
      <c r="C26" s="1">
        <v>1.8759999999999999</v>
      </c>
      <c r="D26" s="1">
        <v>1830</v>
      </c>
      <c r="E26" s="1">
        <v>2.8538999999994901</v>
      </c>
      <c r="F26" s="1">
        <v>1.0000000000000001E-5</v>
      </c>
      <c r="G26" s="109">
        <v>3060000000</v>
      </c>
      <c r="H26" s="114" t="s">
        <v>102</v>
      </c>
      <c r="I26" s="110">
        <f t="shared" si="1"/>
        <v>2218.7165979864048</v>
      </c>
      <c r="J26" s="111">
        <f t="shared" si="0"/>
        <v>39228612.743981734</v>
      </c>
      <c r="K26" s="112">
        <f t="shared" si="2"/>
        <v>3.6816055529835847E+49</v>
      </c>
    </row>
    <row r="27" spans="1:11" x14ac:dyDescent="0.2">
      <c r="A27" s="1">
        <v>23</v>
      </c>
      <c r="B27" s="109">
        <v>1.5400745E+52</v>
      </c>
      <c r="C27" s="1">
        <v>1.8879999999999999</v>
      </c>
      <c r="D27" s="1">
        <v>1840</v>
      </c>
      <c r="E27" s="1">
        <v>2.8649999999994802</v>
      </c>
      <c r="F27" s="1">
        <v>1.0000000000000001E-5</v>
      </c>
      <c r="G27" s="109">
        <v>3080000000</v>
      </c>
      <c r="H27" s="114" t="s">
        <v>103</v>
      </c>
      <c r="I27" s="110">
        <f t="shared" si="1"/>
        <v>2229.0063424948003</v>
      </c>
      <c r="J27" s="111">
        <f t="shared" si="0"/>
        <v>36392336.363887496</v>
      </c>
      <c r="K27" s="112">
        <f t="shared" si="2"/>
        <v>3.5344336853715457E+49</v>
      </c>
    </row>
    <row r="28" spans="1:11" x14ac:dyDescent="0.2">
      <c r="A28" s="1">
        <v>24</v>
      </c>
      <c r="B28" s="109">
        <v>1.5500749999999999E+52</v>
      </c>
      <c r="C28" s="1">
        <v>1.9</v>
      </c>
      <c r="D28" s="1">
        <v>1850</v>
      </c>
      <c r="E28" s="1">
        <v>2.8760999999994699</v>
      </c>
      <c r="F28" s="1">
        <v>1.0000000000000001E-5</v>
      </c>
      <c r="G28" s="109">
        <v>3100000000</v>
      </c>
      <c r="H28" s="114" t="s">
        <v>104</v>
      </c>
      <c r="I28" s="110">
        <f t="shared" si="1"/>
        <v>2239.2933799083398</v>
      </c>
      <c r="J28" s="111">
        <f t="shared" si="0"/>
        <v>33780013.138709366</v>
      </c>
      <c r="K28" s="112">
        <f t="shared" si="2"/>
        <v>3.3927116368095502E+49</v>
      </c>
    </row>
    <row r="29" spans="1:11" x14ac:dyDescent="0.2">
      <c r="A29" s="1">
        <v>25</v>
      </c>
      <c r="B29" s="109">
        <v>1.5600755E+52</v>
      </c>
      <c r="C29" s="1">
        <v>1.9119999999999999</v>
      </c>
      <c r="D29" s="1">
        <v>1860</v>
      </c>
      <c r="E29" s="1">
        <v>2.88719999999946</v>
      </c>
      <c r="F29" s="1">
        <v>1.0000000000000001E-5</v>
      </c>
      <c r="G29" s="109">
        <v>3120000000</v>
      </c>
      <c r="H29" s="114" t="s">
        <v>105</v>
      </c>
      <c r="I29" s="110">
        <f t="shared" si="1"/>
        <v>2249.5777479893645</v>
      </c>
      <c r="J29" s="111">
        <f t="shared" si="0"/>
        <v>31372550.435436945</v>
      </c>
      <c r="K29" s="112">
        <f t="shared" si="2"/>
        <v>3.2562591871536916E+49</v>
      </c>
    </row>
    <row r="30" spans="1:11" x14ac:dyDescent="0.2">
      <c r="A30" s="1">
        <v>26</v>
      </c>
      <c r="B30" s="109">
        <v>1.5700759999999999E+52</v>
      </c>
      <c r="C30" s="1">
        <v>1.9239999999999999</v>
      </c>
      <c r="D30" s="1">
        <v>1870</v>
      </c>
      <c r="E30" s="1">
        <v>2.8982999999994501</v>
      </c>
      <c r="F30" s="1">
        <v>1.0000000000000001E-5</v>
      </c>
      <c r="G30" s="109">
        <v>3140000000</v>
      </c>
      <c r="H30" s="114" t="s">
        <v>106</v>
      </c>
      <c r="I30" s="110">
        <f t="shared" si="1"/>
        <v>2259.8594838011149</v>
      </c>
      <c r="J30" s="111">
        <f t="shared" si="0"/>
        <v>29152597.910530083</v>
      </c>
      <c r="K30" s="112">
        <f t="shared" si="2"/>
        <v>3.1249009931984106E+49</v>
      </c>
    </row>
    <row r="31" spans="1:11" x14ac:dyDescent="0.2">
      <c r="A31" s="1">
        <v>27</v>
      </c>
      <c r="B31" s="109">
        <v>1.5800765E+52</v>
      </c>
      <c r="C31" s="1">
        <v>1.9359999999999999</v>
      </c>
      <c r="D31" s="1">
        <v>1880</v>
      </c>
      <c r="E31" s="1">
        <v>2.9093999999994402</v>
      </c>
      <c r="F31" s="1">
        <v>1.0000000000000001E-5</v>
      </c>
      <c r="G31" s="109">
        <v>3160000000</v>
      </c>
      <c r="H31" s="114" t="s">
        <v>107</v>
      </c>
      <c r="I31" s="110">
        <f t="shared" si="1"/>
        <v>2270.1386237238394</v>
      </c>
      <c r="J31" s="111">
        <f t="shared" si="0"/>
        <v>27104378.48017646</v>
      </c>
      <c r="K31" s="112">
        <f t="shared" si="2"/>
        <v>2.9984665132385585E+49</v>
      </c>
    </row>
    <row r="32" spans="1:11" x14ac:dyDescent="0.2">
      <c r="A32" s="1">
        <v>28</v>
      </c>
      <c r="B32" s="109">
        <v>1.5900769999999999E+52</v>
      </c>
      <c r="C32" s="1">
        <v>1.94799999999999</v>
      </c>
      <c r="D32" s="1">
        <v>1890</v>
      </c>
      <c r="E32" s="1">
        <v>2.9204999999994299</v>
      </c>
      <c r="F32" s="1">
        <v>1.0000000000000001E-5</v>
      </c>
      <c r="G32" s="109">
        <v>3180000000</v>
      </c>
      <c r="H32" s="114" t="s">
        <v>108</v>
      </c>
      <c r="I32" s="110">
        <f t="shared" si="1"/>
        <v>2280.4152034704493</v>
      </c>
      <c r="J32" s="111">
        <f t="shared" si="0"/>
        <v>25213536.628367968</v>
      </c>
      <c r="K32" s="112">
        <f t="shared" si="2"/>
        <v>2.8767899294230994E+49</v>
      </c>
    </row>
    <row r="33" spans="1:11" x14ac:dyDescent="0.2">
      <c r="A33" s="1">
        <v>29</v>
      </c>
      <c r="B33" s="109">
        <v>1.6000775E+52</v>
      </c>
      <c r="C33" s="1">
        <v>1.95999999999999</v>
      </c>
      <c r="D33" s="1">
        <v>1900</v>
      </c>
      <c r="E33" s="1">
        <v>2.93159999999942</v>
      </c>
      <c r="F33" s="1">
        <v>1.0000000000000001E-5</v>
      </c>
      <c r="G33" s="109">
        <v>3200000000</v>
      </c>
      <c r="H33" s="114" t="s">
        <v>109</v>
      </c>
      <c r="I33" s="110">
        <f t="shared" si="1"/>
        <v>2290.6892581017546</v>
      </c>
      <c r="J33" s="111">
        <f t="shared" si="0"/>
        <v>23467002.181156624</v>
      </c>
      <c r="K33" s="112">
        <f t="shared" si="2"/>
        <v>2.7597100681754561E+49</v>
      </c>
    </row>
    <row r="34" spans="1:11" x14ac:dyDescent="0.2">
      <c r="A34" s="1">
        <v>30</v>
      </c>
      <c r="B34" s="109">
        <v>1.6100779999999999E+52</v>
      </c>
      <c r="C34" s="1">
        <v>1.97199999999999</v>
      </c>
      <c r="D34" s="1">
        <v>1910</v>
      </c>
      <c r="E34" s="1">
        <v>2.9426999999994101</v>
      </c>
      <c r="F34" s="1">
        <v>1.0000000000000001E-5</v>
      </c>
      <c r="G34" s="109">
        <v>3220000000</v>
      </c>
      <c r="H34" s="114" t="s">
        <v>110</v>
      </c>
      <c r="I34" s="110">
        <f t="shared" si="1"/>
        <v>2300.9608220412783</v>
      </c>
      <c r="J34" s="111">
        <f t="shared" si="0"/>
        <v>21852867.88726715</v>
      </c>
      <c r="K34" s="112">
        <f t="shared" si="2"/>
        <v>2.647070318941268E+49</v>
      </c>
    </row>
    <row r="35" spans="1:11" x14ac:dyDescent="0.2">
      <c r="A35" s="1">
        <v>31</v>
      </c>
      <c r="B35" s="109">
        <v>1.6200785E+52</v>
      </c>
      <c r="C35" s="1">
        <v>1.98399999999999</v>
      </c>
      <c r="D35" s="1">
        <v>1920</v>
      </c>
      <c r="E35" s="1">
        <v>2.9537999999993998</v>
      </c>
      <c r="F35" s="1">
        <v>1.0000000000000001E-5</v>
      </c>
      <c r="G35" s="109">
        <v>3240000000</v>
      </c>
      <c r="H35" s="114" t="s">
        <v>111</v>
      </c>
      <c r="I35" s="110">
        <f t="shared" si="1"/>
        <v>2311.2299290896713</v>
      </c>
      <c r="J35" s="111">
        <f t="shared" si="0"/>
        <v>20360279.332012668</v>
      </c>
      <c r="K35" s="112">
        <f t="shared" si="2"/>
        <v>2.5387185515071114E+49</v>
      </c>
    </row>
    <row r="36" spans="1:11" x14ac:dyDescent="0.2">
      <c r="A36" s="1">
        <v>32</v>
      </c>
      <c r="B36" s="109">
        <v>1.6300790000000001E+52</v>
      </c>
      <c r="C36" s="1">
        <v>1.99599999999999</v>
      </c>
      <c r="D36" s="1">
        <v>1930</v>
      </c>
      <c r="E36" s="1">
        <v>2.9648999999993899</v>
      </c>
      <c r="F36" s="1">
        <v>1.0000000000000001E-5</v>
      </c>
      <c r="G36" s="109">
        <v>3260000000</v>
      </c>
      <c r="H36" s="114" t="s">
        <v>112</v>
      </c>
      <c r="I36" s="110">
        <f t="shared" si="1"/>
        <v>2321.4966124387356</v>
      </c>
      <c r="J36" s="111">
        <f t="shared" si="0"/>
        <v>18979335.876271565</v>
      </c>
      <c r="K36" s="112">
        <f t="shared" si="2"/>
        <v>2.4345070321216085E+49</v>
      </c>
    </row>
    <row r="37" spans="1:11" x14ac:dyDescent="0.2">
      <c r="A37" s="1">
        <v>33</v>
      </c>
      <c r="B37" s="109">
        <v>1.6400795E+52</v>
      </c>
      <c r="C37" s="1">
        <v>2.0079999999999898</v>
      </c>
      <c r="D37" s="1">
        <v>1940</v>
      </c>
      <c r="E37" s="1">
        <v>2.97599999999938</v>
      </c>
      <c r="F37" s="1">
        <v>1.0000000000000001E-5</v>
      </c>
      <c r="G37" s="109">
        <v>3280000000</v>
      </c>
      <c r="H37" s="115"/>
      <c r="I37" s="110">
        <f t="shared" si="1"/>
        <v>2331.7609046850739</v>
      </c>
      <c r="J37" s="111">
        <f t="shared" si="0"/>
        <v>17701001.457819954</v>
      </c>
      <c r="K37" s="112">
        <f t="shared" si="2"/>
        <v>2.3342923386351816E+49</v>
      </c>
    </row>
    <row r="38" spans="1:11" x14ac:dyDescent="0.2">
      <c r="A38" s="1">
        <v>34</v>
      </c>
      <c r="B38" s="109">
        <v>1.6500800000000001E+52</v>
      </c>
      <c r="C38" s="1">
        <v>2.0199999999999898</v>
      </c>
      <c r="D38" s="1">
        <v>1950</v>
      </c>
      <c r="E38" s="1">
        <v>2.9870999999993701</v>
      </c>
      <c r="F38" s="1">
        <v>1.0000000000000001E-5</v>
      </c>
      <c r="G38" s="109">
        <v>3300000000</v>
      </c>
      <c r="H38" s="115"/>
      <c r="I38" s="110">
        <f t="shared" si="1"/>
        <v>2342.0228378433703</v>
      </c>
      <c r="J38" s="111">
        <f t="shared" si="0"/>
        <v>16517024.220925113</v>
      </c>
      <c r="K38" s="112">
        <f t="shared" si="2"/>
        <v>2.2379352748619018E+49</v>
      </c>
    </row>
    <row r="39" spans="1:11" x14ac:dyDescent="0.2">
      <c r="A39" s="1">
        <v>35</v>
      </c>
      <c r="B39" s="109">
        <v>1.6600805E+52</v>
      </c>
      <c r="C39" s="1">
        <v>2.0319999999999898</v>
      </c>
      <c r="D39" s="1">
        <v>1960</v>
      </c>
      <c r="E39" s="1">
        <v>2.9981999999993598</v>
      </c>
      <c r="F39" s="1">
        <v>1.0000000000000001E-5</v>
      </c>
      <c r="G39" s="109">
        <v>3320000000</v>
      </c>
      <c r="H39" s="115"/>
      <c r="I39" s="110">
        <f t="shared" si="1"/>
        <v>2352.2824433593191</v>
      </c>
      <c r="J39" s="111">
        <f t="shared" si="0"/>
        <v>15419864.053852709</v>
      </c>
      <c r="K39" s="112">
        <f t="shared" si="2"/>
        <v>2.1453007843541565E+49</v>
      </c>
    </row>
    <row r="40" spans="1:11" x14ac:dyDescent="0.2">
      <c r="A40" s="1">
        <v>36</v>
      </c>
      <c r="B40" s="109">
        <v>1.6700810000000001E+52</v>
      </c>
      <c r="C40" s="1">
        <v>2.0439999999999898</v>
      </c>
      <c r="D40" s="1">
        <v>1970</v>
      </c>
      <c r="E40" s="1">
        <v>3.0092999999993499</v>
      </c>
      <c r="F40" s="1">
        <v>1.0000000000000001E-5</v>
      </c>
      <c r="G40" s="109">
        <v>3340000000</v>
      </c>
      <c r="H40" s="115"/>
      <c r="I40" s="110">
        <f t="shared" si="1"/>
        <v>2362.5397521222076</v>
      </c>
      <c r="J40" s="111">
        <f t="shared" si="0"/>
        <v>14402627.214597743</v>
      </c>
      <c r="K40" s="112">
        <f t="shared" si="2"/>
        <v>2.0562578637686721E+49</v>
      </c>
    </row>
    <row r="41" spans="1:11" x14ac:dyDescent="0.2">
      <c r="A41" s="1">
        <v>37</v>
      </c>
      <c r="B41" s="109">
        <v>1.6800815E+52</v>
      </c>
      <c r="C41" s="1">
        <v>2.0559999999999898</v>
      </c>
      <c r="D41" s="1">
        <v>1980</v>
      </c>
      <c r="E41" s="1">
        <v>3.0203999999993401</v>
      </c>
      <c r="F41" s="1">
        <v>1.0000000000000001E-5</v>
      </c>
      <c r="G41" s="109">
        <v>3360000000</v>
      </c>
      <c r="H41" s="115"/>
      <c r="I41" s="110">
        <f t="shared" si="1"/>
        <v>2372.7947944771699</v>
      </c>
      <c r="J41" s="111">
        <f t="shared" si="0"/>
        <v>13459007.314305143</v>
      </c>
      <c r="K41" s="112">
        <f t="shared" si="2"/>
        <v>1.9706794759908802E+49</v>
      </c>
    </row>
    <row r="42" spans="1:11" x14ac:dyDescent="0.2">
      <c r="A42" s="1">
        <v>38</v>
      </c>
      <c r="B42" s="109">
        <v>1.6900820000000001E+52</v>
      </c>
      <c r="C42" s="1">
        <v>2.0679999999999898</v>
      </c>
      <c r="D42" s="1">
        <v>1990</v>
      </c>
      <c r="E42" s="1">
        <v>3.0314999999993302</v>
      </c>
      <c r="F42" s="1">
        <v>1.0000000000000001E-5</v>
      </c>
      <c r="G42" s="109">
        <v>3380000000</v>
      </c>
      <c r="H42" s="115"/>
      <c r="I42" s="110">
        <f t="shared" si="1"/>
        <v>2383.0476002371174</v>
      </c>
      <c r="J42" s="111">
        <f t="shared" si="0"/>
        <v>12583232.006852096</v>
      </c>
      <c r="K42" s="112">
        <f t="shared" si="2"/>
        <v>1.8884424631733985E+49</v>
      </c>
    </row>
    <row r="43" spans="1:11" x14ac:dyDescent="0.2">
      <c r="A43" s="1">
        <v>39</v>
      </c>
      <c r="B43" s="109">
        <v>1.7000825E+52</v>
      </c>
      <c r="C43" s="1">
        <v>2.0799999999999899</v>
      </c>
      <c r="D43" s="1">
        <v>2000</v>
      </c>
      <c r="E43" s="1">
        <v>3.0425999999993198</v>
      </c>
      <c r="F43" s="1">
        <v>1.0000000000000001E-5</v>
      </c>
      <c r="G43" s="109">
        <v>3400000000</v>
      </c>
      <c r="H43" s="115"/>
      <c r="I43" s="110">
        <f t="shared" si="1"/>
        <v>2393.2981986943555</v>
      </c>
      <c r="J43" s="111">
        <f t="shared" si="0"/>
        <v>11770014.803142646</v>
      </c>
      <c r="K43" s="112">
        <f t="shared" si="2"/>
        <v>1.8094274598338317E+49</v>
      </c>
    </row>
    <row r="44" spans="1:11" x14ac:dyDescent="0.2">
      <c r="A44" s="1">
        <v>40</v>
      </c>
      <c r="B44" s="109">
        <v>1.7100830000000001E+52</v>
      </c>
      <c r="C44" s="1">
        <v>2.0919999999999899</v>
      </c>
      <c r="D44" s="1">
        <v>2010</v>
      </c>
      <c r="E44" s="1">
        <v>3.05369999999931</v>
      </c>
      <c r="F44" s="1">
        <v>1.0000000000000001E-5</v>
      </c>
      <c r="G44" s="109">
        <v>3420000000</v>
      </c>
      <c r="H44" s="115"/>
      <c r="I44" s="110">
        <f t="shared" si="1"/>
        <v>2403.5466186318954</v>
      </c>
      <c r="J44" s="111">
        <f t="shared" si="0"/>
        <v>11014511.490853539</v>
      </c>
      <c r="K44" s="112">
        <f t="shared" si="2"/>
        <v>1.7335188061469371E+49</v>
      </c>
    </row>
    <row r="45" spans="1:11" x14ac:dyDescent="0.2">
      <c r="A45" s="1">
        <v>41</v>
      </c>
      <c r="B45" s="109">
        <v>1.7200835E+52</v>
      </c>
      <c r="C45" s="1">
        <v>2.1039999999999899</v>
      </c>
      <c r="D45" s="1">
        <v>2020</v>
      </c>
      <c r="E45" s="1">
        <v>3.0647999999993001</v>
      </c>
      <c r="F45" s="1">
        <v>1.0000000000000001E-5</v>
      </c>
      <c r="G45" s="109">
        <v>3440000000</v>
      </c>
      <c r="H45" s="115"/>
      <c r="I45" s="110">
        <f t="shared" si="1"/>
        <v>2413.7928883344807</v>
      </c>
      <c r="J45" s="111">
        <f t="shared" si="0"/>
        <v>10312280.695606412</v>
      </c>
      <c r="K45" s="112">
        <f t="shared" si="2"/>
        <v>1.6606044615565596E+49</v>
      </c>
    </row>
    <row r="46" spans="1:11" x14ac:dyDescent="0.2">
      <c r="A46" s="1">
        <v>42</v>
      </c>
      <c r="B46" s="109">
        <v>1.73008399999999E+52</v>
      </c>
      <c r="C46" s="1">
        <v>2.1159999999999899</v>
      </c>
      <c r="D46" s="1">
        <v>2030</v>
      </c>
      <c r="E46" s="1">
        <v>3.0758999999992902</v>
      </c>
      <c r="F46" s="1">
        <v>1.0000000000000001E-5</v>
      </c>
      <c r="G46" s="109">
        <v>3460000000</v>
      </c>
      <c r="H46" s="115"/>
      <c r="I46" s="110">
        <f t="shared" si="1"/>
        <v>2424.0370355993164</v>
      </c>
      <c r="J46" s="111">
        <f t="shared" si="0"/>
        <v>9659248.1686247047</v>
      </c>
      <c r="K46" s="112">
        <f t="shared" si="2"/>
        <v>1.5905759188234037E+49</v>
      </c>
    </row>
    <row r="47" spans="1:11" x14ac:dyDescent="0.2">
      <c r="A47" s="1">
        <v>43</v>
      </c>
      <c r="B47" s="109">
        <v>1.7400844999999901E+52</v>
      </c>
      <c r="C47" s="1">
        <v>2.1279999999999899</v>
      </c>
      <c r="D47" s="1">
        <v>2040</v>
      </c>
      <c r="E47" s="1">
        <v>3.0869999999992799</v>
      </c>
      <c r="F47" s="1">
        <v>1.0000000000000001E-5</v>
      </c>
      <c r="G47" s="109">
        <v>3480000000</v>
      </c>
      <c r="H47" s="115"/>
      <c r="I47" s="110">
        <f t="shared" si="1"/>
        <v>2434.2790877465341</v>
      </c>
      <c r="J47" s="111">
        <f t="shared" si="0"/>
        <v>9051674.4295912292</v>
      </c>
      <c r="K47" s="112">
        <f t="shared" si="2"/>
        <v>1.5233281186161376E+49</v>
      </c>
    </row>
    <row r="48" spans="1:11" x14ac:dyDescent="0.2">
      <c r="A48" s="1">
        <v>44</v>
      </c>
      <c r="B48" s="109">
        <v>1.75008499999999E+52</v>
      </c>
      <c r="C48" s="1">
        <v>2.1399999999999899</v>
      </c>
      <c r="D48" s="1">
        <v>2050</v>
      </c>
      <c r="E48" s="1">
        <v>3.09809999999927</v>
      </c>
      <c r="F48" s="1">
        <v>1.0000000000000001E-5</v>
      </c>
      <c r="G48" s="109">
        <v>3500000000</v>
      </c>
      <c r="H48" s="115"/>
      <c r="I48" s="110">
        <f t="shared" si="1"/>
        <v>2444.5190716293782</v>
      </c>
      <c r="J48" s="111">
        <f t="shared" si="0"/>
        <v>8486125.432267921</v>
      </c>
      <c r="K48" s="112">
        <f t="shared" si="2"/>
        <v>1.4587593647445696E+49</v>
      </c>
    </row>
    <row r="49" spans="1:11" x14ac:dyDescent="0.2">
      <c r="A49" s="1">
        <v>45</v>
      </c>
      <c r="B49" s="109">
        <v>1.7600854999999901E+52</v>
      </c>
      <c r="C49" s="1">
        <v>2.1519999999999899</v>
      </c>
      <c r="D49" s="1">
        <v>2060</v>
      </c>
      <c r="E49" s="1">
        <v>3.1091999999992601</v>
      </c>
      <c r="F49" s="1">
        <v>1.0000000000000001E-5</v>
      </c>
      <c r="G49" s="109">
        <v>3520000000</v>
      </c>
      <c r="H49" s="115"/>
      <c r="I49" s="110">
        <f t="shared" si="1"/>
        <v>2454.7570136441409</v>
      </c>
      <c r="J49" s="111">
        <f t="shared" si="0"/>
        <v>7959445.95503591</v>
      </c>
      <c r="K49" s="112">
        <f t="shared" si="2"/>
        <v>1.3967712401262206E+49</v>
      </c>
    </row>
    <row r="50" spans="1:11" x14ac:dyDescent="0.2">
      <c r="A50" s="1">
        <v>46</v>
      </c>
      <c r="B50" s="109">
        <v>1.77008599999999E+52</v>
      </c>
      <c r="C50" s="1">
        <v>2.1639999999999899</v>
      </c>
      <c r="D50" s="1">
        <v>2070</v>
      </c>
      <c r="E50" s="1">
        <v>3.1202999999992498</v>
      </c>
      <c r="F50" s="1">
        <v>1.0000000000000001E-5</v>
      </c>
      <c r="G50" s="109">
        <v>3540000000</v>
      </c>
      <c r="H50" s="115"/>
      <c r="I50" s="110">
        <f t="shared" si="1"/>
        <v>2464.9929397398378</v>
      </c>
      <c r="J50" s="111">
        <f t="shared" si="0"/>
        <v>7468735.4493389046</v>
      </c>
      <c r="K50" s="112">
        <f t="shared" si="2"/>
        <v>1.3372685235695225E+49</v>
      </c>
    </row>
    <row r="51" spans="1:11" x14ac:dyDescent="0.2">
      <c r="A51" s="1">
        <v>47</v>
      </c>
      <c r="B51" s="109">
        <v>1.7800864999999901E+52</v>
      </c>
      <c r="C51" s="1">
        <v>2.1759999999999899</v>
      </c>
      <c r="D51" s="1">
        <v>2080</v>
      </c>
      <c r="E51" s="1">
        <v>3.1313999999992399</v>
      </c>
      <c r="F51" s="1">
        <v>1.0000000000000001E-5</v>
      </c>
      <c r="G51" s="109">
        <v>3560000000</v>
      </c>
      <c r="H51" s="115"/>
      <c r="I51" s="110">
        <f t="shared" si="1"/>
        <v>2475.2268754276433</v>
      </c>
      <c r="J51" s="111">
        <f t="shared" si="0"/>
        <v>7011326.1065022619</v>
      </c>
      <c r="K51" s="112">
        <f t="shared" si="2"/>
        <v>1.2801591074500174E+49</v>
      </c>
    </row>
    <row r="52" spans="1:11" x14ac:dyDescent="0.2">
      <c r="A52" s="1">
        <v>48</v>
      </c>
      <c r="B52" s="109">
        <v>1.79008699999999E+52</v>
      </c>
      <c r="C52" s="1">
        <v>2.18799999999999</v>
      </c>
      <c r="D52" s="1">
        <v>2090</v>
      </c>
      <c r="E52" s="1">
        <v>3.1424999999992398</v>
      </c>
      <c r="F52" s="1">
        <v>1.0000000000000001E-5</v>
      </c>
      <c r="G52" s="109">
        <v>3580000000</v>
      </c>
      <c r="H52" s="115"/>
      <c r="I52" s="110">
        <f t="shared" si="1"/>
        <v>2485.4588457900854</v>
      </c>
      <c r="J52" s="111">
        <f t="shared" si="0"/>
        <v>6584762.927922491</v>
      </c>
      <c r="K52" s="112">
        <f t="shared" si="2"/>
        <v>1.2253539163489799E+49</v>
      </c>
    </row>
    <row r="53" spans="1:11" x14ac:dyDescent="0.2">
      <c r="A53" s="1">
        <v>49</v>
      </c>
      <c r="B53" s="109">
        <v>1.8000874999999901E+52</v>
      </c>
      <c r="C53" s="1">
        <v>2.19999999999999</v>
      </c>
      <c r="D53" s="1">
        <v>2100</v>
      </c>
      <c r="E53" s="1">
        <v>3.1535999999992299</v>
      </c>
      <c r="F53" s="1">
        <v>1.0000000000000001E-5</v>
      </c>
      <c r="G53" s="109">
        <v>3600000000</v>
      </c>
      <c r="H53" s="115"/>
      <c r="I53" s="110">
        <f t="shared" si="1"/>
        <v>2495.6888754900151</v>
      </c>
      <c r="J53" s="111">
        <f t="shared" si="0"/>
        <v>6186785.6055223811</v>
      </c>
      <c r="K53" s="112">
        <f t="shared" si="2"/>
        <v>1.1727668267176252E+49</v>
      </c>
    </row>
    <row r="54" spans="1:11" x14ac:dyDescent="0.2">
      <c r="A54" s="1">
        <v>50</v>
      </c>
      <c r="B54" s="109">
        <v>1.81008799999999E+52</v>
      </c>
      <c r="C54" s="1">
        <v>2.21199999999999</v>
      </c>
      <c r="D54" s="1">
        <v>2110</v>
      </c>
      <c r="E54" s="1">
        <v>3.16469999999922</v>
      </c>
      <c r="F54" s="1">
        <v>1.0000000000000001E-5</v>
      </c>
      <c r="G54" s="109">
        <v>3620000000</v>
      </c>
      <c r="H54" s="115" t="s">
        <v>113</v>
      </c>
      <c r="I54" s="110">
        <f t="shared" si="1"/>
        <v>2505.9169887793405</v>
      </c>
      <c r="J54" s="111">
        <f t="shared" si="0"/>
        <v>5815312.0389199639</v>
      </c>
      <c r="K54" s="112">
        <f t="shared" si="2"/>
        <v>1.12231458762336E+49</v>
      </c>
    </row>
    <row r="55" spans="1:11" x14ac:dyDescent="0.2">
      <c r="A55" s="1">
        <v>51</v>
      </c>
      <c r="B55" s="109">
        <v>1.8200884999999901E+52</v>
      </c>
      <c r="C55" s="1">
        <v>2.22399999999999</v>
      </c>
      <c r="D55" s="1">
        <v>2120</v>
      </c>
      <c r="E55" s="1">
        <v>3.1757999999992101</v>
      </c>
      <c r="F55" s="1">
        <v>1.0000000000000001E-5</v>
      </c>
      <c r="G55" s="109">
        <v>3640000000</v>
      </c>
      <c r="H55" s="115"/>
      <c r="I55" s="110">
        <f t="shared" si="1"/>
        <v>2516.1432095075538</v>
      </c>
      <c r="J55" s="111">
        <f t="shared" si="0"/>
        <v>5468423.3332582563</v>
      </c>
      <c r="K55" s="112">
        <f t="shared" si="2"/>
        <v>1.0739167426297323E+49</v>
      </c>
    </row>
    <row r="56" spans="1:11" x14ac:dyDescent="0.2">
      <c r="A56" s="1">
        <v>52</v>
      </c>
      <c r="B56" s="109">
        <v>1.8300889999999899E+52</v>
      </c>
      <c r="C56" s="1">
        <v>2.23599999999999</v>
      </c>
      <c r="D56" s="1">
        <v>2130</v>
      </c>
      <c r="E56" s="1">
        <v>3.1868999999991998</v>
      </c>
      <c r="F56" s="1">
        <v>1.0000000000000001E-5</v>
      </c>
      <c r="G56" s="109">
        <v>3660000000</v>
      </c>
      <c r="H56" s="115"/>
      <c r="I56" s="110">
        <f t="shared" si="1"/>
        <v>2526.3675611300446</v>
      </c>
      <c r="J56" s="111">
        <f t="shared" si="0"/>
        <v>5144350.1372721167</v>
      </c>
      <c r="K56" s="112">
        <f t="shared" si="2"/>
        <v>1.0274955528553009E+49</v>
      </c>
    </row>
    <row r="57" spans="1:11" x14ac:dyDescent="0.2">
      <c r="A57" s="1">
        <v>53</v>
      </c>
      <c r="B57" s="109">
        <v>1.8400894999999901E+52</v>
      </c>
      <c r="C57" s="1">
        <v>2.24799999999999</v>
      </c>
      <c r="D57" s="1">
        <v>2140</v>
      </c>
      <c r="E57" s="1">
        <v>3.1979999999991899</v>
      </c>
      <c r="F57" s="1">
        <v>1.0000000000000001E-5</v>
      </c>
      <c r="G57" s="109">
        <v>3680000000</v>
      </c>
      <c r="H57" s="115"/>
      <c r="I57" s="110">
        <f t="shared" si="1"/>
        <v>2536.590066716205</v>
      </c>
      <c r="J57" s="111">
        <f t="shared" si="0"/>
        <v>4841460.1951743923</v>
      </c>
      <c r="K57" s="112">
        <f t="shared" si="2"/>
        <v>9.8297592125198934E+48</v>
      </c>
    </row>
    <row r="58" spans="1:11" x14ac:dyDescent="0.2">
      <c r="A58" s="1">
        <v>54</v>
      </c>
      <c r="B58" s="109">
        <v>1.8500899999999899E+52</v>
      </c>
      <c r="C58" s="1">
        <v>2.25999999999999</v>
      </c>
      <c r="D58" s="1">
        <v>2150</v>
      </c>
      <c r="E58" s="1">
        <v>3.2090999999991801</v>
      </c>
      <c r="F58" s="1">
        <v>1.0000000000000001E-5</v>
      </c>
      <c r="G58" s="109">
        <v>3700000000</v>
      </c>
      <c r="H58" s="115"/>
      <c r="I58" s="110">
        <f t="shared" si="1"/>
        <v>2546.8107489573385</v>
      </c>
      <c r="J58" s="111">
        <f t="shared" si="0"/>
        <v>4558246.998479398</v>
      </c>
      <c r="K58" s="112">
        <f t="shared" si="2"/>
        <v>9.4028531813853093E+48</v>
      </c>
    </row>
    <row r="59" spans="1:11" x14ac:dyDescent="0.2">
      <c r="A59" s="1">
        <v>55</v>
      </c>
      <c r="B59" s="109">
        <v>1.8600904999999901E+52</v>
      </c>
      <c r="C59" s="1">
        <v>2.27199999999999</v>
      </c>
      <c r="D59" s="1">
        <v>2160</v>
      </c>
      <c r="E59" s="1">
        <v>3.2201999999991702</v>
      </c>
      <c r="F59" s="1">
        <v>1.0000000000000001E-5</v>
      </c>
      <c r="G59" s="109">
        <v>3720000000</v>
      </c>
      <c r="H59" s="115"/>
      <c r="I59" s="110">
        <f t="shared" si="1"/>
        <v>2557.0296301743733</v>
      </c>
      <c r="J59" s="111">
        <f t="shared" si="0"/>
        <v>4293319.4351160731</v>
      </c>
      <c r="K59" s="112">
        <f t="shared" si="2"/>
        <v>8.9935370801994525E+48</v>
      </c>
    </row>
    <row r="60" spans="1:11" x14ac:dyDescent="0.2">
      <c r="A60" s="1">
        <v>56</v>
      </c>
      <c r="B60" s="109">
        <v>1.8700909999999899E+52</v>
      </c>
      <c r="C60" s="1">
        <v>2.28399999999999</v>
      </c>
      <c r="D60" s="1">
        <v>2170</v>
      </c>
      <c r="E60" s="1">
        <v>3.2312999999991598</v>
      </c>
      <c r="F60" s="1">
        <v>1.0000000000000001E-5</v>
      </c>
      <c r="G60" s="109">
        <v>3740000000</v>
      </c>
      <c r="H60" s="115"/>
      <c r="I60" s="110">
        <f t="shared" si="1"/>
        <v>2567.2467323253886</v>
      </c>
      <c r="J60" s="111">
        <f t="shared" si="0"/>
        <v>4045392.3432572749</v>
      </c>
      <c r="K60" s="112">
        <f t="shared" si="2"/>
        <v>8.601134777196993E+48</v>
      </c>
    </row>
    <row r="61" spans="1:11" x14ac:dyDescent="0.2">
      <c r="A61" s="1">
        <v>57</v>
      </c>
      <c r="B61" s="109">
        <v>1.8800914999999901E+52</v>
      </c>
      <c r="C61" s="1">
        <v>2.29599999999999</v>
      </c>
      <c r="D61" s="1">
        <v>2180</v>
      </c>
      <c r="E61" s="1">
        <v>3.24239999999915</v>
      </c>
      <c r="F61" s="1">
        <v>1.0000000000000001E-5</v>
      </c>
      <c r="G61" s="109">
        <v>3760000000</v>
      </c>
      <c r="H61" s="115"/>
      <c r="I61" s="110">
        <f t="shared" si="1"/>
        <v>2577.4620770129586</v>
      </c>
      <c r="J61" s="111">
        <f t="shared" si="0"/>
        <v>3813277.8863293971</v>
      </c>
      <c r="K61" s="112">
        <f t="shared" si="2"/>
        <v>8.224993658471602E+48</v>
      </c>
    </row>
    <row r="62" spans="1:11" x14ac:dyDescent="0.2">
      <c r="A62" s="1">
        <v>58</v>
      </c>
      <c r="B62" s="109">
        <v>1.8900919999999899E+52</v>
      </c>
      <c r="C62" s="1">
        <v>2.3079999999999901</v>
      </c>
      <c r="D62" s="1">
        <v>2190</v>
      </c>
      <c r="E62" s="1">
        <v>3.2534999999991401</v>
      </c>
      <c r="F62" s="1">
        <v>1.0000000000000001E-5</v>
      </c>
      <c r="G62" s="109">
        <v>3780000000</v>
      </c>
      <c r="H62" s="115"/>
      <c r="I62" s="110">
        <f t="shared" si="1"/>
        <v>2587.6756854913169</v>
      </c>
      <c r="J62" s="111">
        <f t="shared" si="0"/>
        <v>3595877.6737794653</v>
      </c>
      <c r="K62" s="112">
        <f t="shared" si="2"/>
        <v>7.8644839361908417E+48</v>
      </c>
    </row>
    <row r="63" spans="1:11" x14ac:dyDescent="0.2">
      <c r="A63" s="1">
        <v>59</v>
      </c>
      <c r="B63" s="109">
        <v>1.90009249999999E+52</v>
      </c>
      <c r="C63" s="1">
        <v>2.3199999999999901</v>
      </c>
      <c r="D63" s="1">
        <v>2200</v>
      </c>
      <c r="E63" s="1">
        <v>3.2645999999991302</v>
      </c>
      <c r="F63" s="1">
        <v>1.0000000000000001E-5</v>
      </c>
      <c r="G63" s="109">
        <v>3800000000</v>
      </c>
      <c r="H63" s="115"/>
      <c r="I63" s="110">
        <f t="shared" si="1"/>
        <v>2597.8875786733511</v>
      </c>
      <c r="J63" s="111">
        <f t="shared" si="0"/>
        <v>3392175.5594644416</v>
      </c>
      <c r="K63" s="112">
        <f t="shared" si="2"/>
        <v>7.5189979705032819E+48</v>
      </c>
    </row>
    <row r="64" spans="1:11" x14ac:dyDescent="0.2">
      <c r="A64" s="1">
        <v>60</v>
      </c>
      <c r="B64" s="109">
        <v>1.9100929999999899E+52</v>
      </c>
      <c r="C64" s="1">
        <v>2.3319999999999901</v>
      </c>
      <c r="D64" s="1">
        <v>2210</v>
      </c>
      <c r="E64" s="1">
        <v>3.2756999999991199</v>
      </c>
      <c r="F64" s="1">
        <v>1.0000000000000001E-5</v>
      </c>
      <c r="G64" s="109">
        <v>3820000000</v>
      </c>
      <c r="H64" s="115"/>
      <c r="I64" s="110">
        <f t="shared" si="1"/>
        <v>2608.0977771374251</v>
      </c>
      <c r="J64" s="111">
        <f t="shared" si="0"/>
        <v>3201231.0560765942</v>
      </c>
      <c r="K64" s="112">
        <f t="shared" si="2"/>
        <v>7.1879496052561028E+48</v>
      </c>
    </row>
    <row r="65" spans="1:11" x14ac:dyDescent="0.2">
      <c r="A65" s="1">
        <v>61</v>
      </c>
      <c r="B65" s="109">
        <v>1.92009349999999E+52</v>
      </c>
      <c r="C65" s="1">
        <v>2.3439999999999901</v>
      </c>
      <c r="D65" s="1">
        <v>2220</v>
      </c>
      <c r="E65" s="1">
        <v>3.28679999999911</v>
      </c>
      <c r="F65" s="1">
        <v>1.0000000000000001E-5</v>
      </c>
      <c r="G65" s="109">
        <v>3840000000</v>
      </c>
      <c r="H65" s="115"/>
      <c r="I65" s="110">
        <f t="shared" si="1"/>
        <v>2618.3063011340441</v>
      </c>
      <c r="J65" s="111">
        <f t="shared" si="0"/>
        <v>3022173.3099087169</v>
      </c>
      <c r="K65" s="112">
        <f t="shared" si="2"/>
        <v>6.870773517610083E+48</v>
      </c>
    </row>
    <row r="66" spans="1:11" x14ac:dyDescent="0.2">
      <c r="A66" s="1">
        <v>62</v>
      </c>
      <c r="B66" s="109">
        <v>1.9300939999999899E+52</v>
      </c>
      <c r="C66" s="1">
        <v>2.3559999999999901</v>
      </c>
      <c r="D66" s="1">
        <v>2230</v>
      </c>
      <c r="E66" s="1">
        <v>3.2978999999991001</v>
      </c>
      <c r="F66" s="1">
        <v>1.0000000000000001E-5</v>
      </c>
      <c r="G66" s="109">
        <v>3860000000</v>
      </c>
      <c r="H66" s="115"/>
      <c r="I66" s="110">
        <f t="shared" si="1"/>
        <v>2628.5131705923582</v>
      </c>
      <c r="J66" s="111">
        <f t="shared" si="0"/>
        <v>2854195.5855615102</v>
      </c>
      <c r="K66" s="112">
        <f t="shared" si="2"/>
        <v>6.5669245816094097E+48</v>
      </c>
    </row>
    <row r="67" spans="1:11" x14ac:dyDescent="0.2">
      <c r="A67" s="1">
        <v>63</v>
      </c>
      <c r="B67" s="109">
        <v>1.94009449999999E+52</v>
      </c>
      <c r="C67" s="1">
        <v>2.3679999999999901</v>
      </c>
      <c r="D67" s="1">
        <v>2240</v>
      </c>
      <c r="E67" s="1">
        <v>3.3089999999990898</v>
      </c>
      <c r="F67" s="1">
        <v>1.0000000000000001E-5</v>
      </c>
      <c r="G67" s="109">
        <v>3880000000</v>
      </c>
      <c r="H67" s="115"/>
      <c r="I67" s="110">
        <f t="shared" si="1"/>
        <v>2638.7184051265085</v>
      </c>
      <c r="J67" s="111">
        <f t="shared" si="0"/>
        <v>2696550.214966367</v>
      </c>
      <c r="K67" s="112">
        <f t="shared" si="2"/>
        <v>6.2758772457366693E+48</v>
      </c>
    </row>
  </sheetData>
  <phoneticPr fontId="2" type="noConversion"/>
  <pageMargins left="0.75" right="0.75" top="1" bottom="1" header="0.5" footer="0.5"/>
  <headerFooter alignWithMargins="0"/>
  <legacy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Worksheet____2"/>
  <dimension ref="A1:M104"/>
  <sheetViews>
    <sheetView workbookViewId="0">
      <selection activeCell="N16" sqref="N16"/>
    </sheetView>
  </sheetViews>
  <sheetFormatPr defaultRowHeight="12.75" x14ac:dyDescent="0.2"/>
  <cols>
    <col min="1" max="1" width="4" customWidth="1"/>
    <col min="2" max="2" width="6" bestFit="1" customWidth="1"/>
    <col min="4" max="4" width="7.5703125" customWidth="1"/>
    <col min="5" max="5" width="10.85546875" customWidth="1"/>
    <col min="6" max="6" width="13.140625" bestFit="1" customWidth="1"/>
    <col min="7" max="7" width="6" bestFit="1" customWidth="1"/>
    <col min="8" max="8" width="14.42578125" bestFit="1" customWidth="1"/>
    <col min="9" max="9" width="4" bestFit="1" customWidth="1"/>
    <col min="10" max="10" width="6.85546875" customWidth="1"/>
    <col min="12" max="12" width="12.42578125" bestFit="1" customWidth="1"/>
  </cols>
  <sheetData>
    <row r="1" spans="1:13" x14ac:dyDescent="0.2">
      <c r="A1" s="73" t="s">
        <v>52</v>
      </c>
    </row>
    <row r="2" spans="1:13" x14ac:dyDescent="0.2">
      <c r="A2" s="25" t="s">
        <v>24</v>
      </c>
    </row>
    <row r="3" spans="1:13" ht="13.5" thickBot="1" x14ac:dyDescent="0.25"/>
    <row r="4" spans="1:13" ht="26.25" thickBot="1" x14ac:dyDescent="0.25">
      <c r="A4" s="34" t="s">
        <v>25</v>
      </c>
      <c r="B4" s="35" t="s">
        <v>26</v>
      </c>
      <c r="C4" s="35" t="s">
        <v>27</v>
      </c>
      <c r="D4" s="35" t="s">
        <v>51</v>
      </c>
      <c r="E4" s="35" t="s">
        <v>28</v>
      </c>
      <c r="F4" s="36" t="s">
        <v>29</v>
      </c>
      <c r="G4" s="35" t="s">
        <v>51</v>
      </c>
      <c r="I4" s="34" t="s">
        <v>25</v>
      </c>
      <c r="J4" s="35" t="s">
        <v>26</v>
      </c>
      <c r="K4" s="35" t="s">
        <v>53</v>
      </c>
      <c r="L4" s="35" t="s">
        <v>50</v>
      </c>
      <c r="M4" s="72" t="s">
        <v>49</v>
      </c>
    </row>
    <row r="5" spans="1:13" ht="13.5" thickBot="1" x14ac:dyDescent="0.25">
      <c r="A5" s="37">
        <v>0</v>
      </c>
      <c r="B5" s="38">
        <v>1</v>
      </c>
      <c r="C5" s="38">
        <f>(EXP(B5)-2-B5)^2</f>
        <v>7.9365128176378891E-2</v>
      </c>
      <c r="D5" s="39">
        <f>$G$5</f>
        <v>5.0000000000000001E-3</v>
      </c>
      <c r="E5" s="38">
        <f>$F$7-B5</f>
        <v>0.14619322062058271</v>
      </c>
      <c r="F5" s="33">
        <v>5.0000000000000001E-3</v>
      </c>
      <c r="G5" s="43">
        <f>F5</f>
        <v>5.0000000000000001E-3</v>
      </c>
      <c r="I5" s="60">
        <v>1</v>
      </c>
      <c r="J5" s="60">
        <v>1</v>
      </c>
      <c r="K5" s="60">
        <f>(EXP(J5)-2-J5)^2</f>
        <v>7.9365128176378891E-2</v>
      </c>
      <c r="L5" s="60">
        <f>K5-$M$5</f>
        <v>7.9358581521554381E-2</v>
      </c>
      <c r="M5" s="71">
        <f>MIN(K5:K104)</f>
        <v>6.5466548245120653E-6</v>
      </c>
    </row>
    <row r="6" spans="1:13" x14ac:dyDescent="0.2">
      <c r="A6" s="26">
        <v>1</v>
      </c>
      <c r="B6" s="27">
        <f>B5+D5</f>
        <v>1.0049999999999999</v>
      </c>
      <c r="C6" s="27">
        <f t="shared" ref="C6:C45" si="0">(EXP(B6)-2-B6)^2</f>
        <v>7.4579637635372703E-2</v>
      </c>
      <c r="D6" s="41">
        <f t="shared" ref="D6:D45" si="1">$G$5</f>
        <v>5.0000000000000001E-3</v>
      </c>
      <c r="E6" s="28">
        <f>B6-B5</f>
        <v>4.9999999999998934E-3</v>
      </c>
      <c r="F6" s="32" t="s">
        <v>30</v>
      </c>
      <c r="I6" s="1">
        <v>2</v>
      </c>
      <c r="J6" s="1">
        <f>J5+$F$5</f>
        <v>1.0049999999999999</v>
      </c>
      <c r="K6" s="1">
        <f t="shared" ref="K6:K69" si="2">(EXP(J6)-2-J6)^2</f>
        <v>7.4579637635372703E-2</v>
      </c>
      <c r="L6" s="1">
        <f t="shared" ref="L6:L69" si="3">K6-$M$5</f>
        <v>7.4573090980548193E-2</v>
      </c>
    </row>
    <row r="7" spans="1:13" ht="13.5" thickBot="1" x14ac:dyDescent="0.25">
      <c r="A7" s="3">
        <v>2</v>
      </c>
      <c r="B7" s="1">
        <f>IF(C6&lt;C5,B6+$G$5,B6)</f>
        <v>1.0099999999999998</v>
      </c>
      <c r="C7" s="1">
        <f t="shared" si="0"/>
        <v>6.990682326008503E-2</v>
      </c>
      <c r="D7" s="40">
        <f t="shared" si="1"/>
        <v>5.0000000000000001E-3</v>
      </c>
      <c r="E7" s="29">
        <f t="shared" ref="E7:E35" si="4">B7-B6</f>
        <v>4.9999999999998934E-3</v>
      </c>
      <c r="F7" s="30">
        <v>1.1461932206205827</v>
      </c>
      <c r="I7" s="1">
        <v>3</v>
      </c>
      <c r="J7" s="1">
        <f t="shared" ref="J7:J70" si="5">J6+$F$5</f>
        <v>1.0099999999999998</v>
      </c>
      <c r="K7" s="1">
        <f t="shared" si="2"/>
        <v>6.990682326008503E-2</v>
      </c>
      <c r="L7" s="1">
        <f t="shared" si="3"/>
        <v>6.990027660526052E-2</v>
      </c>
    </row>
    <row r="8" spans="1:13" x14ac:dyDescent="0.2">
      <c r="A8" s="3">
        <v>3</v>
      </c>
      <c r="B8" s="1">
        <f t="shared" ref="B8:B35" si="6">IF(C7&lt;C6,B7+$G$5,B7)</f>
        <v>1.0149999999999997</v>
      </c>
      <c r="C8" s="1">
        <f t="shared" si="0"/>
        <v>6.5350072600997164E-2</v>
      </c>
      <c r="D8" s="40">
        <f t="shared" si="1"/>
        <v>5.0000000000000001E-3</v>
      </c>
      <c r="E8" s="29">
        <f t="shared" si="4"/>
        <v>4.9999999999998934E-3</v>
      </c>
      <c r="I8" s="1">
        <v>4</v>
      </c>
      <c r="J8" s="1">
        <f t="shared" si="5"/>
        <v>1.0149999999999997</v>
      </c>
      <c r="K8" s="1">
        <f t="shared" si="2"/>
        <v>6.5350072600997164E-2</v>
      </c>
      <c r="L8" s="1">
        <f t="shared" si="3"/>
        <v>6.5343525946172654E-2</v>
      </c>
    </row>
    <row r="9" spans="1:13" x14ac:dyDescent="0.2">
      <c r="A9" s="3">
        <v>4</v>
      </c>
      <c r="B9" s="1">
        <f t="shared" si="6"/>
        <v>1.0199999999999996</v>
      </c>
      <c r="C9" s="1">
        <f t="shared" si="0"/>
        <v>6.0912824534638921E-2</v>
      </c>
      <c r="D9" s="40">
        <f t="shared" si="1"/>
        <v>5.0000000000000001E-3</v>
      </c>
      <c r="E9" s="29">
        <f t="shared" si="4"/>
        <v>4.9999999999998934E-3</v>
      </c>
      <c r="I9" s="1">
        <v>5</v>
      </c>
      <c r="J9" s="1">
        <f t="shared" si="5"/>
        <v>1.0199999999999996</v>
      </c>
      <c r="K9" s="1">
        <f t="shared" si="2"/>
        <v>6.0912824534638921E-2</v>
      </c>
      <c r="L9" s="1">
        <f t="shared" si="3"/>
        <v>6.0906277879814411E-2</v>
      </c>
    </row>
    <row r="10" spans="1:13" x14ac:dyDescent="0.2">
      <c r="A10" s="3">
        <v>5</v>
      </c>
      <c r="B10" s="1">
        <f t="shared" si="6"/>
        <v>1.0249999999999995</v>
      </c>
      <c r="C10" s="1">
        <f t="shared" si="0"/>
        <v>5.6598569883375097E-2</v>
      </c>
      <c r="D10" s="40">
        <f t="shared" si="1"/>
        <v>5.0000000000000001E-3</v>
      </c>
      <c r="E10" s="29">
        <f t="shared" si="4"/>
        <v>4.9999999999998934E-3</v>
      </c>
      <c r="I10" s="1">
        <v>6</v>
      </c>
      <c r="J10" s="1">
        <f t="shared" si="5"/>
        <v>1.0249999999999995</v>
      </c>
      <c r="K10" s="1">
        <f t="shared" si="2"/>
        <v>5.6598569883375097E-2</v>
      </c>
      <c r="L10" s="1">
        <f t="shared" si="3"/>
        <v>5.6592023228550586E-2</v>
      </c>
    </row>
    <row r="11" spans="1:13" x14ac:dyDescent="0.2">
      <c r="A11" s="3">
        <v>6</v>
      </c>
      <c r="B11" s="1">
        <f t="shared" si="6"/>
        <v>1.0299999999999994</v>
      </c>
      <c r="C11" s="1">
        <f t="shared" si="0"/>
        <v>5.2410852042029894E-2</v>
      </c>
      <c r="D11" s="40">
        <f t="shared" si="1"/>
        <v>5.0000000000000001E-3</v>
      </c>
      <c r="E11" s="29">
        <f t="shared" si="4"/>
        <v>4.9999999999998934E-3</v>
      </c>
      <c r="I11" s="1">
        <v>7</v>
      </c>
      <c r="J11" s="1">
        <f t="shared" si="5"/>
        <v>1.0299999999999994</v>
      </c>
      <c r="K11" s="1">
        <f t="shared" si="2"/>
        <v>5.2410852042029894E-2</v>
      </c>
      <c r="L11" s="1">
        <f t="shared" si="3"/>
        <v>5.2404305387205384E-2</v>
      </c>
    </row>
    <row r="12" spans="1:13" x14ac:dyDescent="0.2">
      <c r="A12" s="3">
        <v>7</v>
      </c>
      <c r="B12" s="1">
        <f t="shared" si="6"/>
        <v>1.0349999999999993</v>
      </c>
      <c r="C12" s="1">
        <f t="shared" si="0"/>
        <v>4.8353267611420343E-2</v>
      </c>
      <c r="D12" s="40">
        <f t="shared" si="1"/>
        <v>5.0000000000000001E-3</v>
      </c>
      <c r="E12" s="29">
        <f t="shared" si="4"/>
        <v>4.9999999999998934E-3</v>
      </c>
      <c r="I12" s="1">
        <v>8</v>
      </c>
      <c r="J12" s="1">
        <f t="shared" si="5"/>
        <v>1.0349999999999993</v>
      </c>
      <c r="K12" s="1">
        <f t="shared" si="2"/>
        <v>4.8353267611420343E-2</v>
      </c>
      <c r="L12" s="1">
        <f t="shared" si="3"/>
        <v>4.8346720956595833E-2</v>
      </c>
    </row>
    <row r="13" spans="1:13" x14ac:dyDescent="0.2">
      <c r="A13" s="3">
        <v>8</v>
      </c>
      <c r="B13" s="1">
        <f t="shared" si="6"/>
        <v>1.0399999999999991</v>
      </c>
      <c r="C13" s="1">
        <f t="shared" si="0"/>
        <v>4.4429467038871309E-2</v>
      </c>
      <c r="D13" s="40">
        <f t="shared" si="1"/>
        <v>5.0000000000000001E-3</v>
      </c>
      <c r="E13" s="29">
        <f t="shared" si="4"/>
        <v>4.9999999999998934E-3</v>
      </c>
      <c r="I13" s="1">
        <v>9</v>
      </c>
      <c r="J13" s="1">
        <f t="shared" si="5"/>
        <v>1.0399999999999991</v>
      </c>
      <c r="K13" s="1">
        <f t="shared" si="2"/>
        <v>4.4429467038871309E-2</v>
      </c>
      <c r="L13" s="1">
        <f t="shared" si="3"/>
        <v>4.4422920384046799E-2</v>
      </c>
    </row>
    <row r="14" spans="1:13" x14ac:dyDescent="0.2">
      <c r="A14" s="3">
        <v>9</v>
      </c>
      <c r="B14" s="1">
        <f t="shared" si="6"/>
        <v>1.044999999999999</v>
      </c>
      <c r="C14" s="1">
        <f t="shared" si="0"/>
        <v>4.0643155265786969E-2</v>
      </c>
      <c r="D14" s="40">
        <f t="shared" si="1"/>
        <v>5.0000000000000001E-3</v>
      </c>
      <c r="E14" s="29">
        <f t="shared" si="4"/>
        <v>4.9999999999998934E-3</v>
      </c>
      <c r="I14" s="1">
        <v>10</v>
      </c>
      <c r="J14" s="1">
        <f t="shared" si="5"/>
        <v>1.044999999999999</v>
      </c>
      <c r="K14" s="1">
        <f t="shared" si="2"/>
        <v>4.0643155265786969E-2</v>
      </c>
      <c r="L14" s="1">
        <f t="shared" si="3"/>
        <v>4.0636608610962459E-2</v>
      </c>
    </row>
    <row r="15" spans="1:13" x14ac:dyDescent="0.2">
      <c r="A15" s="3">
        <v>10</v>
      </c>
      <c r="B15" s="1">
        <f t="shared" si="6"/>
        <v>1.0499999999999989</v>
      </c>
      <c r="C15" s="1">
        <f t="shared" si="0"/>
        <v>3.6998092382351716E-2</v>
      </c>
      <c r="D15" s="40">
        <f t="shared" si="1"/>
        <v>5.0000000000000001E-3</v>
      </c>
      <c r="E15" s="29">
        <f t="shared" si="4"/>
        <v>4.9999999999998934E-3</v>
      </c>
      <c r="I15" s="1">
        <v>11</v>
      </c>
      <c r="J15" s="1">
        <f t="shared" si="5"/>
        <v>1.0499999999999989</v>
      </c>
      <c r="K15" s="1">
        <f t="shared" si="2"/>
        <v>3.6998092382351716E-2</v>
      </c>
      <c r="L15" s="1">
        <f t="shared" si="3"/>
        <v>3.6991545727527206E-2</v>
      </c>
    </row>
    <row r="16" spans="1:13" x14ac:dyDescent="0.2">
      <c r="A16" s="3">
        <v>11</v>
      </c>
      <c r="B16" s="1">
        <f t="shared" si="6"/>
        <v>1.0549999999999988</v>
      </c>
      <c r="C16" s="1">
        <f t="shared" si="0"/>
        <v>3.3498094289436751E-2</v>
      </c>
      <c r="D16" s="40">
        <f t="shared" si="1"/>
        <v>5.0000000000000001E-3</v>
      </c>
      <c r="E16" s="29">
        <f t="shared" si="4"/>
        <v>4.9999999999998934E-3</v>
      </c>
      <c r="I16" s="1">
        <v>12</v>
      </c>
      <c r="J16" s="1">
        <f t="shared" si="5"/>
        <v>1.0549999999999988</v>
      </c>
      <c r="K16" s="1">
        <f t="shared" si="2"/>
        <v>3.3498094289436751E-2</v>
      </c>
      <c r="L16" s="1">
        <f t="shared" si="3"/>
        <v>3.3491547634612241E-2</v>
      </c>
    </row>
    <row r="17" spans="1:12" x14ac:dyDescent="0.2">
      <c r="A17" s="3">
        <v>12</v>
      </c>
      <c r="B17" s="1">
        <f t="shared" si="6"/>
        <v>1.0599999999999987</v>
      </c>
      <c r="C17" s="1">
        <f t="shared" si="0"/>
        <v>3.014703336778831E-2</v>
      </c>
      <c r="D17" s="40">
        <f t="shared" si="1"/>
        <v>5.0000000000000001E-3</v>
      </c>
      <c r="E17" s="29">
        <f t="shared" si="4"/>
        <v>4.9999999999998934E-3</v>
      </c>
      <c r="I17" s="1">
        <v>13</v>
      </c>
      <c r="J17" s="1">
        <f t="shared" si="5"/>
        <v>1.0599999999999987</v>
      </c>
      <c r="K17" s="1">
        <f t="shared" si="2"/>
        <v>3.014703336778831E-2</v>
      </c>
      <c r="L17" s="1">
        <f t="shared" si="3"/>
        <v>3.0140486712963797E-2</v>
      </c>
    </row>
    <row r="18" spans="1:12" x14ac:dyDescent="0.2">
      <c r="A18" s="3">
        <v>13</v>
      </c>
      <c r="B18" s="1">
        <f t="shared" si="6"/>
        <v>1.0649999999999986</v>
      </c>
      <c r="C18" s="1">
        <f t="shared" si="0"/>
        <v>2.6948839154573946E-2</v>
      </c>
      <c r="D18" s="40">
        <f t="shared" si="1"/>
        <v>5.0000000000000001E-3</v>
      </c>
      <c r="E18" s="29">
        <f t="shared" si="4"/>
        <v>4.9999999999998934E-3</v>
      </c>
      <c r="I18" s="1">
        <v>14</v>
      </c>
      <c r="J18" s="1">
        <f t="shared" si="5"/>
        <v>1.0649999999999986</v>
      </c>
      <c r="K18" s="1">
        <f t="shared" si="2"/>
        <v>2.6948839154573946E-2</v>
      </c>
      <c r="L18" s="1">
        <f t="shared" si="3"/>
        <v>2.6942292499749432E-2</v>
      </c>
    </row>
    <row r="19" spans="1:12" x14ac:dyDescent="0.2">
      <c r="A19" s="3">
        <v>14</v>
      </c>
      <c r="B19" s="1">
        <f t="shared" si="6"/>
        <v>1.0699999999999985</v>
      </c>
      <c r="C19" s="1">
        <f t="shared" si="0"/>
        <v>2.3907499027364425E-2</v>
      </c>
      <c r="D19" s="40">
        <f t="shared" si="1"/>
        <v>5.0000000000000001E-3</v>
      </c>
      <c r="E19" s="29">
        <f t="shared" si="4"/>
        <v>4.9999999999998934E-3</v>
      </c>
      <c r="I19" s="1">
        <v>15</v>
      </c>
      <c r="J19" s="1">
        <f t="shared" si="5"/>
        <v>1.0699999999999985</v>
      </c>
      <c r="K19" s="1">
        <f t="shared" si="2"/>
        <v>2.3907499027364425E-2</v>
      </c>
      <c r="L19" s="1">
        <f t="shared" si="3"/>
        <v>2.3900952372539912E-2</v>
      </c>
    </row>
    <row r="20" spans="1:12" x14ac:dyDescent="0.2">
      <c r="A20" s="3">
        <v>15</v>
      </c>
      <c r="B20" s="1">
        <f t="shared" si="6"/>
        <v>1.0749999999999984</v>
      </c>
      <c r="C20" s="1">
        <f t="shared" si="0"/>
        <v>2.1027058895629863E-2</v>
      </c>
      <c r="D20" s="40">
        <f t="shared" si="1"/>
        <v>5.0000000000000001E-3</v>
      </c>
      <c r="E20" s="29">
        <f t="shared" si="4"/>
        <v>4.9999999999998934E-3</v>
      </c>
      <c r="I20" s="1">
        <v>16</v>
      </c>
      <c r="J20" s="1">
        <f t="shared" si="5"/>
        <v>1.0749999999999984</v>
      </c>
      <c r="K20" s="1">
        <f t="shared" si="2"/>
        <v>2.1027058895629863E-2</v>
      </c>
      <c r="L20" s="1">
        <f t="shared" si="3"/>
        <v>2.1020512240805349E-2</v>
      </c>
    </row>
    <row r="21" spans="1:12" x14ac:dyDescent="0.2">
      <c r="A21" s="3">
        <v>16</v>
      </c>
      <c r="B21" s="1">
        <f t="shared" si="6"/>
        <v>1.0799999999999983</v>
      </c>
      <c r="C21" s="1">
        <f t="shared" si="0"/>
        <v>1.8311623899829068E-2</v>
      </c>
      <c r="D21" s="40">
        <f t="shared" si="1"/>
        <v>5.0000000000000001E-3</v>
      </c>
      <c r="E21" s="29">
        <f t="shared" si="4"/>
        <v>4.9999999999998934E-3</v>
      </c>
      <c r="I21" s="1">
        <v>17</v>
      </c>
      <c r="J21" s="1">
        <f t="shared" si="5"/>
        <v>1.0799999999999983</v>
      </c>
      <c r="K21" s="1">
        <f t="shared" si="2"/>
        <v>1.8311623899829068E-2</v>
      </c>
      <c r="L21" s="1">
        <f t="shared" si="3"/>
        <v>1.8305077245004554E-2</v>
      </c>
    </row>
    <row r="22" spans="1:12" x14ac:dyDescent="0.2">
      <c r="A22" s="3">
        <v>17</v>
      </c>
      <c r="B22" s="1">
        <f t="shared" si="6"/>
        <v>1.0849999999999982</v>
      </c>
      <c r="C22" s="1">
        <f t="shared" si="0"/>
        <v>1.5765359118172641E-2</v>
      </c>
      <c r="D22" s="40">
        <f t="shared" si="1"/>
        <v>5.0000000000000001E-3</v>
      </c>
      <c r="E22" s="29">
        <f t="shared" si="4"/>
        <v>4.9999999999998934E-3</v>
      </c>
      <c r="I22" s="1">
        <v>18</v>
      </c>
      <c r="J22" s="1">
        <f t="shared" si="5"/>
        <v>1.0849999999999982</v>
      </c>
      <c r="K22" s="1">
        <f t="shared" si="2"/>
        <v>1.5765359118172641E-2</v>
      </c>
      <c r="L22" s="1">
        <f t="shared" si="3"/>
        <v>1.5758812463348128E-2</v>
      </c>
    </row>
    <row r="23" spans="1:12" x14ac:dyDescent="0.2">
      <c r="A23" s="3">
        <v>18</v>
      </c>
      <c r="B23" s="1">
        <f t="shared" si="6"/>
        <v>1.0899999999999981</v>
      </c>
      <c r="C23" s="1">
        <f t="shared" si="0"/>
        <v>1.3392490281139592E-2</v>
      </c>
      <c r="D23" s="40">
        <f t="shared" si="1"/>
        <v>5.0000000000000001E-3</v>
      </c>
      <c r="E23" s="29">
        <f t="shared" si="4"/>
        <v>4.9999999999998934E-3</v>
      </c>
      <c r="I23" s="1">
        <v>19</v>
      </c>
      <c r="J23" s="1">
        <f t="shared" si="5"/>
        <v>1.0899999999999981</v>
      </c>
      <c r="K23" s="1">
        <f t="shared" si="2"/>
        <v>1.3392490281139592E-2</v>
      </c>
      <c r="L23" s="1">
        <f t="shared" si="3"/>
        <v>1.3385943626315081E-2</v>
      </c>
    </row>
    <row r="24" spans="1:12" x14ac:dyDescent="0.2">
      <c r="A24" s="3">
        <v>19</v>
      </c>
      <c r="B24" s="1">
        <f t="shared" si="6"/>
        <v>1.094999999999998</v>
      </c>
      <c r="C24" s="1">
        <f t="shared" si="0"/>
        <v>1.1197304493829998E-2</v>
      </c>
      <c r="D24" s="40">
        <f t="shared" si="1"/>
        <v>5.0000000000000001E-3</v>
      </c>
      <c r="E24" s="29">
        <f t="shared" si="4"/>
        <v>4.9999999999998934E-3</v>
      </c>
      <c r="I24" s="1">
        <v>20</v>
      </c>
      <c r="J24" s="1">
        <f t="shared" si="5"/>
        <v>1.094999999999998</v>
      </c>
      <c r="K24" s="1">
        <f t="shared" si="2"/>
        <v>1.1197304493829998E-2</v>
      </c>
      <c r="L24" s="1">
        <f t="shared" si="3"/>
        <v>1.1190757839005486E-2</v>
      </c>
    </row>
    <row r="25" spans="1:12" x14ac:dyDescent="0.2">
      <c r="A25" s="3">
        <v>20</v>
      </c>
      <c r="B25" s="1">
        <f t="shared" si="6"/>
        <v>1.0999999999999979</v>
      </c>
      <c r="C25" s="1">
        <f t="shared" si="0"/>
        <v>9.1841509662364453E-3</v>
      </c>
      <c r="D25" s="40">
        <f t="shared" si="1"/>
        <v>5.0000000000000001E-3</v>
      </c>
      <c r="E25" s="29">
        <f t="shared" si="4"/>
        <v>4.9999999999998934E-3</v>
      </c>
      <c r="I25" s="1">
        <v>21</v>
      </c>
      <c r="J25" s="1">
        <f t="shared" si="5"/>
        <v>1.0999999999999979</v>
      </c>
      <c r="K25" s="1">
        <f t="shared" si="2"/>
        <v>9.1841509662364453E-3</v>
      </c>
      <c r="L25" s="1">
        <f t="shared" si="3"/>
        <v>9.1776043114119334E-3</v>
      </c>
    </row>
    <row r="26" spans="1:12" x14ac:dyDescent="0.2">
      <c r="A26" s="3">
        <v>21</v>
      </c>
      <c r="B26" s="1">
        <f t="shared" si="6"/>
        <v>1.1049999999999978</v>
      </c>
      <c r="C26" s="1">
        <f t="shared" si="0"/>
        <v>7.3574417515160848E-3</v>
      </c>
      <c r="D26" s="40">
        <f t="shared" si="1"/>
        <v>5.0000000000000001E-3</v>
      </c>
      <c r="E26" s="29">
        <f t="shared" si="4"/>
        <v>4.9999999999998934E-3</v>
      </c>
      <c r="I26" s="1">
        <v>22</v>
      </c>
      <c r="J26" s="1">
        <f t="shared" si="5"/>
        <v>1.1049999999999978</v>
      </c>
      <c r="K26" s="1">
        <f t="shared" si="2"/>
        <v>7.3574417515160848E-3</v>
      </c>
      <c r="L26" s="1">
        <f t="shared" si="3"/>
        <v>7.3508950966915728E-3</v>
      </c>
    </row>
    <row r="27" spans="1:12" x14ac:dyDescent="0.2">
      <c r="A27" s="3">
        <v>22</v>
      </c>
      <c r="B27" s="1">
        <f t="shared" si="6"/>
        <v>1.1099999999999977</v>
      </c>
      <c r="C27" s="1">
        <f t="shared" si="0"/>
        <v>5.7216524923495238E-3</v>
      </c>
      <c r="D27" s="40">
        <f t="shared" si="1"/>
        <v>5.0000000000000001E-3</v>
      </c>
      <c r="E27" s="29">
        <f t="shared" si="4"/>
        <v>4.9999999999998934E-3</v>
      </c>
      <c r="I27" s="1">
        <v>23</v>
      </c>
      <c r="J27" s="1">
        <f t="shared" si="5"/>
        <v>1.1099999999999977</v>
      </c>
      <c r="K27" s="1">
        <f t="shared" si="2"/>
        <v>5.7216524923495238E-3</v>
      </c>
      <c r="L27" s="1">
        <f t="shared" si="3"/>
        <v>5.7151058375250119E-3</v>
      </c>
    </row>
    <row r="28" spans="1:12" x14ac:dyDescent="0.2">
      <c r="A28" s="3">
        <v>23</v>
      </c>
      <c r="B28" s="1">
        <f t="shared" si="6"/>
        <v>1.1149999999999975</v>
      </c>
      <c r="C28" s="1">
        <f t="shared" si="0"/>
        <v>4.2813231754701203E-3</v>
      </c>
      <c r="D28" s="40">
        <f t="shared" si="1"/>
        <v>5.0000000000000001E-3</v>
      </c>
      <c r="E28" s="29">
        <f t="shared" si="4"/>
        <v>4.9999999999998934E-3</v>
      </c>
      <c r="I28" s="1">
        <v>24</v>
      </c>
      <c r="J28" s="1">
        <f t="shared" si="5"/>
        <v>1.1149999999999975</v>
      </c>
      <c r="K28" s="1">
        <f t="shared" si="2"/>
        <v>4.2813231754701203E-3</v>
      </c>
      <c r="L28" s="1">
        <f t="shared" si="3"/>
        <v>4.2747765206456083E-3</v>
      </c>
    </row>
    <row r="29" spans="1:12" x14ac:dyDescent="0.2">
      <c r="A29" s="3">
        <v>24</v>
      </c>
      <c r="B29" s="1">
        <f t="shared" si="6"/>
        <v>1.1199999999999974</v>
      </c>
      <c r="C29" s="1">
        <f t="shared" si="0"/>
        <v>3.041058894450107E-3</v>
      </c>
      <c r="D29" s="40">
        <f t="shared" si="1"/>
        <v>5.0000000000000001E-3</v>
      </c>
      <c r="E29" s="29">
        <f t="shared" si="4"/>
        <v>4.9999999999998934E-3</v>
      </c>
      <c r="I29" s="1">
        <v>25</v>
      </c>
      <c r="J29" s="1">
        <f t="shared" si="5"/>
        <v>1.1199999999999974</v>
      </c>
      <c r="K29" s="1">
        <f t="shared" si="2"/>
        <v>3.041058894450107E-3</v>
      </c>
      <c r="L29" s="1">
        <f t="shared" si="3"/>
        <v>3.034512239625595E-3</v>
      </c>
    </row>
    <row r="30" spans="1:12" x14ac:dyDescent="0.2">
      <c r="A30" s="3">
        <v>25</v>
      </c>
      <c r="B30" s="1">
        <f t="shared" si="6"/>
        <v>1.1249999999999973</v>
      </c>
      <c r="C30" s="1">
        <f t="shared" si="0"/>
        <v>2.0055306208309341E-3</v>
      </c>
      <c r="D30" s="40">
        <f t="shared" si="1"/>
        <v>5.0000000000000001E-3</v>
      </c>
      <c r="E30" s="29">
        <f t="shared" si="4"/>
        <v>4.9999999999998934E-3</v>
      </c>
      <c r="I30" s="1">
        <v>26</v>
      </c>
      <c r="J30" s="1">
        <f t="shared" si="5"/>
        <v>1.1249999999999973</v>
      </c>
      <c r="K30" s="1">
        <f t="shared" si="2"/>
        <v>2.0055306208309341E-3</v>
      </c>
      <c r="L30" s="1">
        <f t="shared" si="3"/>
        <v>1.9989839660064222E-3</v>
      </c>
    </row>
    <row r="31" spans="1:12" x14ac:dyDescent="0.2">
      <c r="A31" s="3">
        <v>26</v>
      </c>
      <c r="B31" s="1">
        <f t="shared" si="6"/>
        <v>1.1299999999999972</v>
      </c>
      <c r="C31" s="1">
        <f t="shared" si="0"/>
        <v>1.1794759836843383E-3</v>
      </c>
      <c r="D31" s="40">
        <f t="shared" si="1"/>
        <v>5.0000000000000001E-3</v>
      </c>
      <c r="E31" s="29">
        <f t="shared" si="4"/>
        <v>4.9999999999998934E-3</v>
      </c>
      <c r="I31" s="1">
        <v>27</v>
      </c>
      <c r="J31" s="1">
        <f t="shared" si="5"/>
        <v>1.1299999999999972</v>
      </c>
      <c r="K31" s="1">
        <f t="shared" si="2"/>
        <v>1.1794759836843383E-3</v>
      </c>
      <c r="L31" s="1">
        <f t="shared" si="3"/>
        <v>1.1729293288598264E-3</v>
      </c>
    </row>
    <row r="32" spans="1:12" x14ac:dyDescent="0.2">
      <c r="A32" s="3">
        <v>27</v>
      </c>
      <c r="B32" s="1">
        <f t="shared" si="6"/>
        <v>1.1349999999999971</v>
      </c>
      <c r="C32" s="1">
        <f t="shared" si="0"/>
        <v>5.6770005769410793E-4</v>
      </c>
      <c r="D32" s="40">
        <f t="shared" si="1"/>
        <v>5.0000000000000001E-3</v>
      </c>
      <c r="E32" s="29">
        <f t="shared" si="4"/>
        <v>4.9999999999998934E-3</v>
      </c>
      <c r="I32" s="1">
        <v>28</v>
      </c>
      <c r="J32" s="1">
        <f t="shared" si="5"/>
        <v>1.1349999999999971</v>
      </c>
      <c r="K32" s="1">
        <f t="shared" si="2"/>
        <v>5.6770005769410793E-4</v>
      </c>
      <c r="L32" s="1">
        <f t="shared" si="3"/>
        <v>5.6115340286959586E-4</v>
      </c>
    </row>
    <row r="33" spans="1:12" x14ac:dyDescent="0.2">
      <c r="A33" s="3">
        <v>28</v>
      </c>
      <c r="B33" s="1">
        <f t="shared" si="6"/>
        <v>1.139999999999997</v>
      </c>
      <c r="C33" s="1">
        <f t="shared" si="0"/>
        <v>1.7507615984710295E-4</v>
      </c>
      <c r="D33" s="40">
        <f t="shared" si="1"/>
        <v>5.0000000000000001E-3</v>
      </c>
      <c r="E33" s="29">
        <f t="shared" si="4"/>
        <v>4.9999999999998934E-3</v>
      </c>
      <c r="I33" s="1">
        <v>29</v>
      </c>
      <c r="J33" s="1">
        <f t="shared" si="5"/>
        <v>1.139999999999997</v>
      </c>
      <c r="K33" s="1">
        <f t="shared" si="2"/>
        <v>1.7507615984710295E-4</v>
      </c>
      <c r="L33" s="1">
        <f t="shared" si="3"/>
        <v>1.6852950502259088E-4</v>
      </c>
    </row>
    <row r="34" spans="1:12" x14ac:dyDescent="0.2">
      <c r="A34" s="3">
        <v>29</v>
      </c>
      <c r="B34" s="1">
        <f t="shared" si="6"/>
        <v>1.1449999999999969</v>
      </c>
      <c r="C34" s="1">
        <f t="shared" si="0"/>
        <v>6.5466548245120653E-6</v>
      </c>
      <c r="D34" s="40">
        <f t="shared" si="1"/>
        <v>5.0000000000000001E-3</v>
      </c>
      <c r="E34" s="29">
        <f t="shared" si="4"/>
        <v>4.9999999999998934E-3</v>
      </c>
      <c r="I34" s="1">
        <v>30</v>
      </c>
      <c r="J34" s="1">
        <f t="shared" si="5"/>
        <v>1.1449999999999969</v>
      </c>
      <c r="K34" s="1">
        <f t="shared" si="2"/>
        <v>6.5466548245120653E-6</v>
      </c>
      <c r="L34" s="1">
        <f t="shared" si="3"/>
        <v>0</v>
      </c>
    </row>
    <row r="35" spans="1:12" x14ac:dyDescent="0.2">
      <c r="A35" s="3">
        <v>30</v>
      </c>
      <c r="B35" s="1">
        <f t="shared" si="6"/>
        <v>1.1499999999999968</v>
      </c>
      <c r="C35" s="1">
        <f t="shared" si="0"/>
        <v>6.7123769184573268E-5</v>
      </c>
      <c r="D35" s="40">
        <f t="shared" si="1"/>
        <v>5.0000000000000001E-3</v>
      </c>
      <c r="E35" s="29">
        <f t="shared" si="4"/>
        <v>4.9999999999998934E-3</v>
      </c>
      <c r="I35" s="1">
        <v>31</v>
      </c>
      <c r="J35" s="1">
        <f t="shared" si="5"/>
        <v>1.1499999999999968</v>
      </c>
      <c r="K35" s="1">
        <f t="shared" si="2"/>
        <v>6.7123769184573268E-5</v>
      </c>
      <c r="L35" s="1">
        <f t="shared" si="3"/>
        <v>6.0577114360061202E-5</v>
      </c>
    </row>
    <row r="36" spans="1:12" x14ac:dyDescent="0.2">
      <c r="A36" s="3">
        <v>31</v>
      </c>
      <c r="B36" s="1">
        <f t="shared" ref="B36:B45" si="7">IF(C35&lt;C34,B35+$G$5,B35)</f>
        <v>1.1499999999999968</v>
      </c>
      <c r="C36" s="1">
        <f t="shared" si="0"/>
        <v>6.7123769184573268E-5</v>
      </c>
      <c r="D36" s="40">
        <f t="shared" si="1"/>
        <v>5.0000000000000001E-3</v>
      </c>
      <c r="E36" s="29">
        <f t="shared" ref="E36:E45" si="8">B36-B35</f>
        <v>0</v>
      </c>
      <c r="I36" s="1">
        <v>32</v>
      </c>
      <c r="J36" s="1">
        <f t="shared" si="5"/>
        <v>1.1549999999999967</v>
      </c>
      <c r="K36" s="1">
        <f t="shared" si="2"/>
        <v>3.6189041442912244E-4</v>
      </c>
      <c r="L36" s="1">
        <f t="shared" si="3"/>
        <v>3.5534375960461038E-4</v>
      </c>
    </row>
    <row r="37" spans="1:12" x14ac:dyDescent="0.2">
      <c r="A37" s="3">
        <v>32</v>
      </c>
      <c r="B37" s="1">
        <f t="shared" si="7"/>
        <v>1.1499999999999968</v>
      </c>
      <c r="C37" s="1">
        <f t="shared" si="0"/>
        <v>6.7123769184573268E-5</v>
      </c>
      <c r="D37" s="40">
        <f t="shared" si="1"/>
        <v>5.0000000000000001E-3</v>
      </c>
      <c r="E37" s="29">
        <f t="shared" si="8"/>
        <v>0</v>
      </c>
      <c r="I37" s="1">
        <v>33</v>
      </c>
      <c r="J37" s="1">
        <f t="shared" si="5"/>
        <v>1.1599999999999966</v>
      </c>
      <c r="K37" s="1">
        <f t="shared" si="2"/>
        <v>8.9600101904730703E-4</v>
      </c>
      <c r="L37" s="1">
        <f t="shared" si="3"/>
        <v>8.8945436422279496E-4</v>
      </c>
    </row>
    <row r="38" spans="1:12" x14ac:dyDescent="0.2">
      <c r="A38" s="3">
        <v>33</v>
      </c>
      <c r="B38" s="1">
        <f t="shared" si="7"/>
        <v>1.1499999999999968</v>
      </c>
      <c r="C38" s="1">
        <f t="shared" si="0"/>
        <v>6.7123769184573268E-5</v>
      </c>
      <c r="D38" s="40">
        <f t="shared" si="1"/>
        <v>5.0000000000000001E-3</v>
      </c>
      <c r="E38" s="29">
        <f t="shared" si="8"/>
        <v>0</v>
      </c>
      <c r="I38" s="1">
        <v>34</v>
      </c>
      <c r="J38" s="1">
        <f t="shared" si="5"/>
        <v>1.1649999999999965</v>
      </c>
      <c r="K38" s="1">
        <f t="shared" si="2"/>
        <v>1.6746823696305844E-3</v>
      </c>
      <c r="L38" s="1">
        <f t="shared" si="3"/>
        <v>1.6681357148060725E-3</v>
      </c>
    </row>
    <row r="39" spans="1:12" x14ac:dyDescent="0.2">
      <c r="A39" s="3">
        <v>34</v>
      </c>
      <c r="B39" s="1">
        <f t="shared" si="7"/>
        <v>1.1499999999999968</v>
      </c>
      <c r="C39" s="1">
        <f t="shared" si="0"/>
        <v>6.7123769184573268E-5</v>
      </c>
      <c r="D39" s="40">
        <f t="shared" si="1"/>
        <v>5.0000000000000001E-3</v>
      </c>
      <c r="E39" s="29">
        <f t="shared" si="8"/>
        <v>0</v>
      </c>
      <c r="I39" s="1">
        <v>35</v>
      </c>
      <c r="J39" s="1">
        <f t="shared" si="5"/>
        <v>1.1699999999999964</v>
      </c>
      <c r="K39" s="1">
        <f t="shared" si="2"/>
        <v>2.7032344611543969E-3</v>
      </c>
      <c r="L39" s="1">
        <f t="shared" si="3"/>
        <v>2.6966878063298849E-3</v>
      </c>
    </row>
    <row r="40" spans="1:12" x14ac:dyDescent="0.2">
      <c r="A40" s="3">
        <v>35</v>
      </c>
      <c r="B40" s="1">
        <f t="shared" si="7"/>
        <v>1.1499999999999968</v>
      </c>
      <c r="C40" s="1">
        <f t="shared" si="0"/>
        <v>6.7123769184573268E-5</v>
      </c>
      <c r="D40" s="40">
        <f t="shared" si="1"/>
        <v>5.0000000000000001E-3</v>
      </c>
      <c r="E40" s="29">
        <f t="shared" si="8"/>
        <v>0</v>
      </c>
      <c r="I40" s="1">
        <v>36</v>
      </c>
      <c r="J40" s="1">
        <f t="shared" si="5"/>
        <v>1.1749999999999963</v>
      </c>
      <c r="K40" s="1">
        <f t="shared" si="2"/>
        <v>3.9870313565227942E-3</v>
      </c>
      <c r="L40" s="1">
        <f t="shared" si="3"/>
        <v>3.9804847016982822E-3</v>
      </c>
    </row>
    <row r="41" spans="1:12" x14ac:dyDescent="0.2">
      <c r="A41" s="3">
        <v>36</v>
      </c>
      <c r="B41" s="1">
        <f t="shared" si="7"/>
        <v>1.1499999999999968</v>
      </c>
      <c r="C41" s="1">
        <f t="shared" si="0"/>
        <v>6.7123769184573268E-5</v>
      </c>
      <c r="D41" s="40">
        <f t="shared" si="1"/>
        <v>5.0000000000000001E-3</v>
      </c>
      <c r="E41" s="29">
        <f t="shared" si="8"/>
        <v>0</v>
      </c>
      <c r="I41" s="1">
        <v>37</v>
      </c>
      <c r="J41" s="1">
        <f t="shared" si="5"/>
        <v>1.1799999999999962</v>
      </c>
      <c r="K41" s="1">
        <f t="shared" si="2"/>
        <v>5.5315220554726253E-3</v>
      </c>
      <c r="L41" s="1">
        <f t="shared" si="3"/>
        <v>5.5249754006481133E-3</v>
      </c>
    </row>
    <row r="42" spans="1:12" x14ac:dyDescent="0.2">
      <c r="A42" s="3">
        <v>37</v>
      </c>
      <c r="B42" s="1">
        <f t="shared" si="7"/>
        <v>1.1499999999999968</v>
      </c>
      <c r="C42" s="1">
        <f t="shared" si="0"/>
        <v>6.7123769184573268E-5</v>
      </c>
      <c r="D42" s="40">
        <f t="shared" si="1"/>
        <v>5.0000000000000001E-3</v>
      </c>
      <c r="E42" s="29">
        <f t="shared" si="8"/>
        <v>0</v>
      </c>
      <c r="I42" s="1">
        <v>38</v>
      </c>
      <c r="J42" s="1">
        <f t="shared" si="5"/>
        <v>1.1849999999999961</v>
      </c>
      <c r="K42" s="1">
        <f t="shared" si="2"/>
        <v>7.3422313729364242E-3</v>
      </c>
      <c r="L42" s="1">
        <f t="shared" si="3"/>
        <v>7.3356847181119123E-3</v>
      </c>
    </row>
    <row r="43" spans="1:12" x14ac:dyDescent="0.2">
      <c r="A43" s="3">
        <v>38</v>
      </c>
      <c r="B43" s="1">
        <f t="shared" si="7"/>
        <v>1.1499999999999968</v>
      </c>
      <c r="C43" s="1">
        <f t="shared" si="0"/>
        <v>6.7123769184573268E-5</v>
      </c>
      <c r="D43" s="40">
        <f t="shared" si="1"/>
        <v>5.0000000000000001E-3</v>
      </c>
      <c r="E43" s="29">
        <f t="shared" si="8"/>
        <v>0</v>
      </c>
      <c r="I43" s="1">
        <v>39</v>
      </c>
      <c r="J43" s="1">
        <f t="shared" si="5"/>
        <v>1.1899999999999959</v>
      </c>
      <c r="K43" s="1">
        <f t="shared" si="2"/>
        <v>9.4247608269622373E-3</v>
      </c>
      <c r="L43" s="1">
        <f t="shared" si="3"/>
        <v>9.4182141721377254E-3</v>
      </c>
    </row>
    <row r="44" spans="1:12" x14ac:dyDescent="0.2">
      <c r="A44" s="3">
        <v>39</v>
      </c>
      <c r="B44" s="1">
        <f t="shared" si="7"/>
        <v>1.1499999999999968</v>
      </c>
      <c r="C44" s="1">
        <f t="shared" si="0"/>
        <v>6.7123769184573268E-5</v>
      </c>
      <c r="D44" s="40">
        <f t="shared" si="1"/>
        <v>5.0000000000000001E-3</v>
      </c>
      <c r="E44" s="29">
        <f t="shared" si="8"/>
        <v>0</v>
      </c>
      <c r="I44" s="1">
        <v>40</v>
      </c>
      <c r="J44" s="1">
        <f t="shared" si="5"/>
        <v>1.1949999999999958</v>
      </c>
      <c r="K44" s="1">
        <f t="shared" si="2"/>
        <v>1.1784789536291477E-2</v>
      </c>
      <c r="L44" s="1">
        <f t="shared" si="3"/>
        <v>1.1778242881466965E-2</v>
      </c>
    </row>
    <row r="45" spans="1:12" ht="13.5" thickBot="1" x14ac:dyDescent="0.25">
      <c r="A45" s="4">
        <v>40</v>
      </c>
      <c r="B45" s="5">
        <f t="shared" si="7"/>
        <v>1.1499999999999968</v>
      </c>
      <c r="C45" s="5">
        <f t="shared" si="0"/>
        <v>6.7123769184573268E-5</v>
      </c>
      <c r="D45" s="42">
        <f t="shared" si="1"/>
        <v>5.0000000000000001E-3</v>
      </c>
      <c r="E45" s="31">
        <f t="shared" si="8"/>
        <v>0</v>
      </c>
      <c r="I45" s="1">
        <v>41</v>
      </c>
      <c r="J45" s="1">
        <f t="shared" si="5"/>
        <v>1.1999999999999957</v>
      </c>
      <c r="K45" s="1">
        <f t="shared" si="2"/>
        <v>1.4428075127695375E-2</v>
      </c>
      <c r="L45" s="1">
        <f t="shared" si="3"/>
        <v>1.4421528472870863E-2</v>
      </c>
    </row>
    <row r="46" spans="1:12" x14ac:dyDescent="0.2">
      <c r="I46" s="1">
        <v>42</v>
      </c>
      <c r="J46" s="1">
        <f t="shared" si="5"/>
        <v>1.2049999999999956</v>
      </c>
      <c r="K46" s="1">
        <f t="shared" si="2"/>
        <v>1.7360454653172451E-2</v>
      </c>
      <c r="L46" s="1">
        <f t="shared" si="3"/>
        <v>1.7353907998347937E-2</v>
      </c>
    </row>
    <row r="47" spans="1:12" x14ac:dyDescent="0.2">
      <c r="I47" s="1">
        <v>43</v>
      </c>
      <c r="J47" s="1">
        <f t="shared" si="5"/>
        <v>1.2099999999999955</v>
      </c>
      <c r="K47" s="1">
        <f t="shared" si="2"/>
        <v>2.0587845517110979E-2</v>
      </c>
      <c r="L47" s="1">
        <f t="shared" si="3"/>
        <v>2.0581298862286466E-2</v>
      </c>
    </row>
    <row r="48" spans="1:12" x14ac:dyDescent="0.2">
      <c r="I48" s="1">
        <v>44</v>
      </c>
      <c r="J48" s="1">
        <f t="shared" si="5"/>
        <v>1.2149999999999954</v>
      </c>
      <c r="K48" s="1">
        <f t="shared" si="2"/>
        <v>2.4116246413520025E-2</v>
      </c>
      <c r="L48" s="1">
        <f t="shared" si="3"/>
        <v>2.4109699758695511E-2</v>
      </c>
    </row>
    <row r="49" spans="9:12" x14ac:dyDescent="0.2">
      <c r="I49" s="1">
        <v>45</v>
      </c>
      <c r="J49" s="1">
        <f t="shared" si="5"/>
        <v>1.2199999999999953</v>
      </c>
      <c r="K49" s="1">
        <f t="shared" si="2"/>
        <v>2.7951738273434605E-2</v>
      </c>
      <c r="L49" s="1">
        <f t="shared" si="3"/>
        <v>2.7945191618610091E-2</v>
      </c>
    </row>
    <row r="50" spans="9:12" x14ac:dyDescent="0.2">
      <c r="I50" s="1">
        <v>46</v>
      </c>
      <c r="J50" s="1">
        <f t="shared" si="5"/>
        <v>1.2249999999999952</v>
      </c>
      <c r="K50" s="1">
        <f t="shared" si="2"/>
        <v>3.2100485222602483E-2</v>
      </c>
      <c r="L50" s="1">
        <f t="shared" si="3"/>
        <v>3.2093938567777973E-2</v>
      </c>
    </row>
    <row r="51" spans="9:12" x14ac:dyDescent="0.2">
      <c r="I51" s="1">
        <v>47</v>
      </c>
      <c r="J51" s="1">
        <f t="shared" si="5"/>
        <v>1.2299999999999951</v>
      </c>
      <c r="K51" s="1">
        <f t="shared" si="2"/>
        <v>3.6568735549559112E-2</v>
      </c>
      <c r="L51" s="1">
        <f t="shared" si="3"/>
        <v>3.6562188894734601E-2</v>
      </c>
    </row>
    <row r="52" spans="9:12" x14ac:dyDescent="0.2">
      <c r="I52" s="1">
        <v>48</v>
      </c>
      <c r="J52" s="1">
        <f t="shared" si="5"/>
        <v>1.234999999999995</v>
      </c>
      <c r="K52" s="1">
        <f t="shared" si="2"/>
        <v>4.1362822684199753E-2</v>
      </c>
      <c r="L52" s="1">
        <f t="shared" si="3"/>
        <v>4.1356276029375243E-2</v>
      </c>
    </row>
    <row r="53" spans="9:12" x14ac:dyDescent="0.2">
      <c r="I53" s="1">
        <v>49</v>
      </c>
      <c r="J53" s="1">
        <f t="shared" si="5"/>
        <v>1.2399999999999949</v>
      </c>
      <c r="K53" s="1">
        <f t="shared" si="2"/>
        <v>4.6489166186960057E-2</v>
      </c>
      <c r="L53" s="1">
        <f t="shared" si="3"/>
        <v>4.6482619532135547E-2</v>
      </c>
    </row>
    <row r="54" spans="9:12" x14ac:dyDescent="0.2">
      <c r="I54" s="1">
        <v>50</v>
      </c>
      <c r="J54" s="1">
        <f t="shared" si="5"/>
        <v>1.2449999999999948</v>
      </c>
      <c r="K54" s="1">
        <f t="shared" si="2"/>
        <v>5.1954272748713025E-2</v>
      </c>
      <c r="L54" s="1">
        <f t="shared" si="3"/>
        <v>5.1947726093888515E-2</v>
      </c>
    </row>
    <row r="55" spans="9:12" x14ac:dyDescent="0.2">
      <c r="I55" s="1">
        <v>51</v>
      </c>
      <c r="J55" s="1">
        <f t="shared" si="5"/>
        <v>1.2499999999999947</v>
      </c>
      <c r="K55" s="1">
        <f t="shared" si="2"/>
        <v>5.7764737201498113E-2</v>
      </c>
      <c r="L55" s="1">
        <f t="shared" si="3"/>
        <v>5.7758190546673603E-2</v>
      </c>
    </row>
    <row r="56" spans="9:12" x14ac:dyDescent="0.2">
      <c r="I56" s="1">
        <v>52</v>
      </c>
      <c r="J56" s="1">
        <f t="shared" si="5"/>
        <v>1.2549999999999946</v>
      </c>
      <c r="K56" s="1">
        <f t="shared" si="2"/>
        <v>6.3927243540192857E-2</v>
      </c>
      <c r="L56" s="1">
        <f t="shared" si="3"/>
        <v>6.3920696885368347E-2</v>
      </c>
    </row>
    <row r="57" spans="9:12" x14ac:dyDescent="0.2">
      <c r="I57" s="1">
        <v>53</v>
      </c>
      <c r="J57" s="1">
        <f t="shared" si="5"/>
        <v>1.2599999999999945</v>
      </c>
      <c r="K57" s="1">
        <f t="shared" si="2"/>
        <v>7.0448565955244194E-2</v>
      </c>
      <c r="L57" s="1">
        <f t="shared" si="3"/>
        <v>7.0442019300419684E-2</v>
      </c>
    </row>
    <row r="58" spans="9:12" x14ac:dyDescent="0.2">
      <c r="I58" s="1">
        <v>54</v>
      </c>
      <c r="J58" s="1">
        <f t="shared" si="5"/>
        <v>1.2649999999999944</v>
      </c>
      <c r="K58" s="1">
        <f t="shared" si="2"/>
        <v>7.7335569876571877E-2</v>
      </c>
      <c r="L58" s="1">
        <f t="shared" si="3"/>
        <v>7.7329023221747367E-2</v>
      </c>
    </row>
    <row r="59" spans="9:12" x14ac:dyDescent="0.2">
      <c r="I59" s="1">
        <v>55</v>
      </c>
      <c r="J59" s="1">
        <f t="shared" si="5"/>
        <v>1.2699999999999942</v>
      </c>
      <c r="K59" s="1">
        <f t="shared" si="2"/>
        <v>8.4595213028763411E-2</v>
      </c>
      <c r="L59" s="1">
        <f t="shared" si="3"/>
        <v>8.4588666373938901E-2</v>
      </c>
    </row>
    <row r="60" spans="9:12" x14ac:dyDescent="0.2">
      <c r="I60" s="1">
        <v>56</v>
      </c>
      <c r="J60" s="1">
        <f t="shared" si="5"/>
        <v>1.2749999999999941</v>
      </c>
      <c r="K60" s="1">
        <f t="shared" si="2"/>
        <v>9.2234546497678385E-2</v>
      </c>
      <c r="L60" s="1">
        <f t="shared" si="3"/>
        <v>9.2227999842853875E-2</v>
      </c>
    </row>
    <row r="61" spans="9:12" x14ac:dyDescent="0.2">
      <c r="I61" s="1">
        <v>57</v>
      </c>
      <c r="J61" s="1">
        <f t="shared" si="5"/>
        <v>1.279999999999994</v>
      </c>
      <c r="K61" s="1">
        <f t="shared" si="2"/>
        <v>0.10026071580858002</v>
      </c>
      <c r="L61" s="1">
        <f t="shared" si="3"/>
        <v>0.10025416915375551</v>
      </c>
    </row>
    <row r="62" spans="9:12" x14ac:dyDescent="0.2">
      <c r="I62" s="1">
        <v>58</v>
      </c>
      <c r="J62" s="1">
        <f t="shared" si="5"/>
        <v>1.2849999999999939</v>
      </c>
      <c r="K62" s="1">
        <f t="shared" si="2"/>
        <v>0.10868096201591466</v>
      </c>
      <c r="L62" s="1">
        <f t="shared" si="3"/>
        <v>0.10867441536109015</v>
      </c>
    </row>
    <row r="63" spans="9:12" x14ac:dyDescent="0.2">
      <c r="I63" s="1">
        <v>59</v>
      </c>
      <c r="J63" s="1">
        <f t="shared" si="5"/>
        <v>1.2899999999999938</v>
      </c>
      <c r="K63" s="1">
        <f t="shared" si="2"/>
        <v>0.11750262280486262</v>
      </c>
      <c r="L63" s="1">
        <f t="shared" si="3"/>
        <v>0.11749607615003811</v>
      </c>
    </row>
    <row r="64" spans="9:12" x14ac:dyDescent="0.2">
      <c r="I64" s="1">
        <v>60</v>
      </c>
      <c r="J64" s="1">
        <f t="shared" si="5"/>
        <v>1.2949999999999937</v>
      </c>
      <c r="K64" s="1">
        <f t="shared" si="2"/>
        <v>0.12673313360478131</v>
      </c>
      <c r="L64" s="1">
        <f t="shared" si="3"/>
        <v>0.12672658694995678</v>
      </c>
    </row>
    <row r="65" spans="9:12" x14ac:dyDescent="0.2">
      <c r="I65" s="1">
        <v>61</v>
      </c>
      <c r="J65" s="1">
        <f t="shared" si="5"/>
        <v>1.2999999999999936</v>
      </c>
      <c r="K65" s="1">
        <f t="shared" si="2"/>
        <v>0.13638002871466604</v>
      </c>
      <c r="L65" s="1">
        <f t="shared" si="3"/>
        <v>0.13637348205984151</v>
      </c>
    </row>
    <row r="66" spans="9:12" x14ac:dyDescent="0.2">
      <c r="I66" s="1">
        <v>62</v>
      </c>
      <c r="J66" s="1">
        <f t="shared" si="5"/>
        <v>1.3049999999999935</v>
      </c>
      <c r="K66" s="1">
        <f t="shared" si="2"/>
        <v>0.14645094244075346</v>
      </c>
      <c r="L66" s="1">
        <f t="shared" si="3"/>
        <v>0.14644439578592894</v>
      </c>
    </row>
    <row r="67" spans="9:12" x14ac:dyDescent="0.2">
      <c r="I67" s="1">
        <v>63</v>
      </c>
      <c r="J67" s="1">
        <f t="shared" si="5"/>
        <v>1.3099999999999934</v>
      </c>
      <c r="K67" s="1">
        <f t="shared" si="2"/>
        <v>0.15695361024639509</v>
      </c>
      <c r="L67" s="1">
        <f t="shared" si="3"/>
        <v>0.15694706359157057</v>
      </c>
    </row>
    <row r="68" spans="9:12" x14ac:dyDescent="0.2">
      <c r="I68" s="1">
        <v>64</v>
      </c>
      <c r="J68" s="1">
        <f t="shared" si="5"/>
        <v>1.3149999999999933</v>
      </c>
      <c r="K68" s="1">
        <f t="shared" si="2"/>
        <v>0.16789586991432731</v>
      </c>
      <c r="L68" s="1">
        <f t="shared" si="3"/>
        <v>0.16788932325950279</v>
      </c>
    </row>
    <row r="69" spans="9:12" x14ac:dyDescent="0.2">
      <c r="I69" s="1">
        <v>65</v>
      </c>
      <c r="J69" s="1">
        <f t="shared" si="5"/>
        <v>1.3199999999999932</v>
      </c>
      <c r="K69" s="1">
        <f t="shared" si="2"/>
        <v>0.17928566272146976</v>
      </c>
      <c r="L69" s="1">
        <f t="shared" si="3"/>
        <v>0.17927911606664523</v>
      </c>
    </row>
    <row r="70" spans="9:12" x14ac:dyDescent="0.2">
      <c r="I70" s="1">
        <v>66</v>
      </c>
      <c r="J70" s="1">
        <f t="shared" si="5"/>
        <v>1.3249999999999931</v>
      </c>
      <c r="K70" s="1">
        <f t="shared" ref="K70:K104" si="9">(EXP(J70)-2-J70)^2</f>
        <v>0.1911310346263809</v>
      </c>
      <c r="L70" s="1">
        <f t="shared" ref="L70:L104" si="10">K70-$M$5</f>
        <v>0.19112448797155637</v>
      </c>
    </row>
    <row r="71" spans="9:12" x14ac:dyDescent="0.2">
      <c r="I71" s="1">
        <v>67</v>
      </c>
      <c r="J71" s="1">
        <f t="shared" ref="J71:J104" si="11">J70+$F$5</f>
        <v>1.329999999999993</v>
      </c>
      <c r="K71" s="1">
        <f t="shared" si="9"/>
        <v>0.2034401374695039</v>
      </c>
      <c r="L71" s="1">
        <f t="shared" si="10"/>
        <v>0.20343359081467938</v>
      </c>
    </row>
    <row r="72" spans="9:12" x14ac:dyDescent="0.2">
      <c r="I72" s="1">
        <v>68</v>
      </c>
      <c r="J72" s="1">
        <f t="shared" si="11"/>
        <v>1.3349999999999929</v>
      </c>
      <c r="K72" s="1">
        <f t="shared" si="9"/>
        <v>0.21622123018633371</v>
      </c>
      <c r="L72" s="1">
        <f t="shared" si="10"/>
        <v>0.21621468353150919</v>
      </c>
    </row>
    <row r="73" spans="9:12" x14ac:dyDescent="0.2">
      <c r="I73" s="1">
        <v>69</v>
      </c>
      <c r="J73" s="1">
        <f t="shared" si="11"/>
        <v>1.3399999999999928</v>
      </c>
      <c r="K73" s="1">
        <f t="shared" si="9"/>
        <v>0.229482680033647</v>
      </c>
      <c r="L73" s="1">
        <f t="shared" si="10"/>
        <v>0.22947613337882247</v>
      </c>
    </row>
    <row r="74" spans="9:12" x14ac:dyDescent="0.2">
      <c r="I74" s="1">
        <v>70</v>
      </c>
      <c r="J74" s="1">
        <f t="shared" si="11"/>
        <v>1.3449999999999926</v>
      </c>
      <c r="K74" s="1">
        <f t="shared" si="9"/>
        <v>0.2432329638289201</v>
      </c>
      <c r="L74" s="1">
        <f t="shared" si="10"/>
        <v>0.24322641717409557</v>
      </c>
    </row>
    <row r="75" spans="9:12" x14ac:dyDescent="0.2">
      <c r="I75" s="1">
        <v>71</v>
      </c>
      <c r="J75" s="1">
        <f t="shared" si="11"/>
        <v>1.3499999999999925</v>
      </c>
      <c r="K75" s="1">
        <f t="shared" si="9"/>
        <v>0.25748066920308443</v>
      </c>
      <c r="L75" s="1">
        <f t="shared" si="10"/>
        <v>0.25747412254825991</v>
      </c>
    </row>
    <row r="76" spans="9:12" x14ac:dyDescent="0.2">
      <c r="I76" s="1">
        <v>72</v>
      </c>
      <c r="J76" s="1">
        <f t="shared" si="11"/>
        <v>1.3549999999999924</v>
      </c>
      <c r="K76" s="1">
        <f t="shared" si="9"/>
        <v>0.27223449586674775</v>
      </c>
      <c r="L76" s="1">
        <f t="shared" si="10"/>
        <v>0.27222794921192323</v>
      </c>
    </row>
    <row r="77" spans="9:12" x14ac:dyDescent="0.2">
      <c r="I77" s="1">
        <v>73</v>
      </c>
      <c r="J77" s="1">
        <f t="shared" si="11"/>
        <v>1.3599999999999923</v>
      </c>
      <c r="K77" s="1">
        <f t="shared" si="9"/>
        <v>0.2875032568900302</v>
      </c>
      <c r="L77" s="1">
        <f t="shared" si="10"/>
        <v>0.28749671023520568</v>
      </c>
    </row>
    <row r="78" spans="9:12" x14ac:dyDescent="0.2">
      <c r="I78" s="1">
        <v>74</v>
      </c>
      <c r="J78" s="1">
        <f t="shared" si="11"/>
        <v>1.3649999999999922</v>
      </c>
      <c r="K78" s="1">
        <f t="shared" si="9"/>
        <v>0.30329587999615315</v>
      </c>
      <c r="L78" s="1">
        <f t="shared" si="10"/>
        <v>0.30328933334132863</v>
      </c>
    </row>
    <row r="79" spans="9:12" x14ac:dyDescent="0.2">
      <c r="I79" s="1">
        <v>75</v>
      </c>
      <c r="J79" s="1">
        <f t="shared" si="11"/>
        <v>1.3699999999999921</v>
      </c>
      <c r="K79" s="1">
        <f t="shared" si="9"/>
        <v>0.31962140886892115</v>
      </c>
      <c r="L79" s="1">
        <f t="shared" si="10"/>
        <v>0.31961486221409663</v>
      </c>
    </row>
    <row r="80" spans="9:12" x14ac:dyDescent="0.2">
      <c r="I80" s="1">
        <v>76</v>
      </c>
      <c r="J80" s="1">
        <f t="shared" si="11"/>
        <v>1.374999999999992</v>
      </c>
      <c r="K80" s="1">
        <f t="shared" si="9"/>
        <v>0.33648900447424879</v>
      </c>
      <c r="L80" s="1">
        <f t="shared" si="10"/>
        <v>0.33648245781942426</v>
      </c>
    </row>
    <row r="81" spans="9:12" x14ac:dyDescent="0.2">
      <c r="I81" s="1">
        <v>77</v>
      </c>
      <c r="J81" s="1">
        <f t="shared" si="11"/>
        <v>1.3799999999999919</v>
      </c>
      <c r="K81" s="1">
        <f t="shared" si="9"/>
        <v>0.3539079463958712</v>
      </c>
      <c r="L81" s="1">
        <f t="shared" si="10"/>
        <v>0.35390139974104667</v>
      </c>
    </row>
    <row r="82" spans="9:12" x14ac:dyDescent="0.2">
      <c r="I82" s="1">
        <v>78</v>
      </c>
      <c r="J82" s="1">
        <f t="shared" si="11"/>
        <v>1.3849999999999918</v>
      </c>
      <c r="K82" s="1">
        <f t="shared" si="9"/>
        <v>0.37188763418539483</v>
      </c>
      <c r="L82" s="1">
        <f t="shared" si="10"/>
        <v>0.37188108753057031</v>
      </c>
    </row>
    <row r="83" spans="9:12" x14ac:dyDescent="0.2">
      <c r="I83" s="1">
        <v>79</v>
      </c>
      <c r="J83" s="1">
        <f t="shared" si="11"/>
        <v>1.3899999999999917</v>
      </c>
      <c r="K83" s="1">
        <f t="shared" si="9"/>
        <v>0.39043758872682521</v>
      </c>
      <c r="L83" s="1">
        <f t="shared" si="10"/>
        <v>0.39043104207200069</v>
      </c>
    </row>
    <row r="84" spans="9:12" x14ac:dyDescent="0.2">
      <c r="I84" s="1">
        <v>80</v>
      </c>
      <c r="J84" s="1">
        <f t="shared" si="11"/>
        <v>1.3949999999999916</v>
      </c>
      <c r="K84" s="1">
        <f t="shared" si="9"/>
        <v>0.40956745361573738</v>
      </c>
      <c r="L84" s="1">
        <f t="shared" si="10"/>
        <v>0.40956090696091285</v>
      </c>
    </row>
    <row r="85" spans="9:12" x14ac:dyDescent="0.2">
      <c r="I85" s="1">
        <v>81</v>
      </c>
      <c r="J85" s="1">
        <f t="shared" si="11"/>
        <v>1.3999999999999915</v>
      </c>
      <c r="K85" s="1">
        <f t="shared" si="9"/>
        <v>0.42928699655322838</v>
      </c>
      <c r="L85" s="1">
        <f t="shared" si="10"/>
        <v>0.42928044989840386</v>
      </c>
    </row>
    <row r="86" spans="9:12" x14ac:dyDescent="0.2">
      <c r="I86" s="1">
        <v>82</v>
      </c>
      <c r="J86" s="1">
        <f t="shared" si="11"/>
        <v>1.4049999999999914</v>
      </c>
      <c r="K86" s="1">
        <f t="shared" si="9"/>
        <v>0.44960611075481227</v>
      </c>
      <c r="L86" s="1">
        <f t="shared" si="10"/>
        <v>0.44959956409998775</v>
      </c>
    </row>
    <row r="87" spans="9:12" x14ac:dyDescent="0.2">
      <c r="I87" s="1">
        <v>83</v>
      </c>
      <c r="J87" s="1">
        <f t="shared" si="11"/>
        <v>1.4099999999999913</v>
      </c>
      <c r="K87" s="1">
        <f t="shared" si="9"/>
        <v>0.47053481637441308</v>
      </c>
      <c r="L87" s="1">
        <f t="shared" si="10"/>
        <v>0.47052826971958855</v>
      </c>
    </row>
    <row r="88" spans="9:12" x14ac:dyDescent="0.2">
      <c r="I88" s="1">
        <v>84</v>
      </c>
      <c r="J88" s="1">
        <f t="shared" si="11"/>
        <v>1.4149999999999912</v>
      </c>
      <c r="K88" s="1">
        <f t="shared" si="9"/>
        <v>0.49208326194361385</v>
      </c>
      <c r="L88" s="1">
        <f t="shared" si="10"/>
        <v>0.49207671528878932</v>
      </c>
    </row>
    <row r="89" spans="9:12" x14ac:dyDescent="0.2">
      <c r="I89" s="1">
        <v>85</v>
      </c>
      <c r="J89" s="1">
        <f t="shared" si="11"/>
        <v>1.419999999999991</v>
      </c>
      <c r="K89" s="1">
        <f t="shared" si="9"/>
        <v>0.51426172582631113</v>
      </c>
      <c r="L89" s="1">
        <f t="shared" si="10"/>
        <v>0.51425517917148666</v>
      </c>
    </row>
    <row r="90" spans="9:12" x14ac:dyDescent="0.2">
      <c r="I90" s="1">
        <v>86</v>
      </c>
      <c r="J90" s="1">
        <f t="shared" si="11"/>
        <v>1.4249999999999909</v>
      </c>
      <c r="K90" s="1">
        <f t="shared" si="9"/>
        <v>0.5370806176889471</v>
      </c>
      <c r="L90" s="1">
        <f t="shared" si="10"/>
        <v>0.53707407103412264</v>
      </c>
    </row>
    <row r="91" spans="9:12" x14ac:dyDescent="0.2">
      <c r="I91" s="1">
        <v>87</v>
      </c>
      <c r="J91" s="1">
        <f t="shared" si="11"/>
        <v>1.4299999999999908</v>
      </c>
      <c r="K91" s="1">
        <f t="shared" si="9"/>
        <v>0.56055047998647822</v>
      </c>
      <c r="L91" s="1">
        <f t="shared" si="10"/>
        <v>0.56054393333165375</v>
      </c>
    </row>
    <row r="92" spans="9:12" x14ac:dyDescent="0.2">
      <c r="I92" s="1">
        <v>88</v>
      </c>
      <c r="J92" s="1">
        <f t="shared" si="11"/>
        <v>1.4349999999999907</v>
      </c>
      <c r="K92" s="1">
        <f t="shared" si="9"/>
        <v>0.58468198946423811</v>
      </c>
      <c r="L92" s="1">
        <f t="shared" si="10"/>
        <v>0.58467544280941364</v>
      </c>
    </row>
    <row r="93" spans="9:12" x14ac:dyDescent="0.2">
      <c r="I93" s="1">
        <v>89</v>
      </c>
      <c r="J93" s="1">
        <f t="shared" si="11"/>
        <v>1.4399999999999906</v>
      </c>
      <c r="K93" s="1">
        <f t="shared" si="9"/>
        <v>0.60948595867586786</v>
      </c>
      <c r="L93" s="1">
        <f t="shared" si="10"/>
        <v>0.60947941202104339</v>
      </c>
    </row>
    <row r="94" spans="9:12" x14ac:dyDescent="0.2">
      <c r="I94" s="1">
        <v>90</v>
      </c>
      <c r="J94" s="1">
        <f t="shared" si="11"/>
        <v>1.4449999999999905</v>
      </c>
      <c r="K94" s="1">
        <f t="shared" si="9"/>
        <v>0.63497333751746932</v>
      </c>
      <c r="L94" s="1">
        <f t="shared" si="10"/>
        <v>0.63496679086264485</v>
      </c>
    </row>
    <row r="95" spans="9:12" x14ac:dyDescent="0.2">
      <c r="I95" s="1">
        <v>91</v>
      </c>
      <c r="J95" s="1">
        <f t="shared" si="11"/>
        <v>1.4499999999999904</v>
      </c>
      <c r="K95" s="1">
        <f t="shared" si="9"/>
        <v>0.66115521477817063</v>
      </c>
      <c r="L95" s="1">
        <f t="shared" si="10"/>
        <v>0.66114866812334616</v>
      </c>
    </row>
    <row r="96" spans="9:12" x14ac:dyDescent="0.2">
      <c r="I96" s="1">
        <v>92</v>
      </c>
      <c r="J96" s="1">
        <f t="shared" si="11"/>
        <v>1.4549999999999903</v>
      </c>
      <c r="K96" s="1">
        <f t="shared" si="9"/>
        <v>0.68804281970724468</v>
      </c>
      <c r="L96" s="1">
        <f t="shared" si="10"/>
        <v>0.68803627305242021</v>
      </c>
    </row>
    <row r="97" spans="9:12" x14ac:dyDescent="0.2">
      <c r="I97" s="1">
        <v>93</v>
      </c>
      <c r="J97" s="1">
        <f t="shared" si="11"/>
        <v>1.4599999999999902</v>
      </c>
      <c r="K97" s="1">
        <f t="shared" si="9"/>
        <v>0.71564752359798844</v>
      </c>
      <c r="L97" s="1">
        <f t="shared" si="10"/>
        <v>0.71564097694316398</v>
      </c>
    </row>
    <row r="98" spans="9:12" x14ac:dyDescent="0.2">
      <c r="I98" s="1">
        <v>94</v>
      </c>
      <c r="J98" s="1">
        <f t="shared" si="11"/>
        <v>1.4649999999999901</v>
      </c>
      <c r="K98" s="1">
        <f t="shared" si="9"/>
        <v>0.74398084138849974</v>
      </c>
      <c r="L98" s="1">
        <f t="shared" si="10"/>
        <v>0.74397429473367527</v>
      </c>
    </row>
    <row r="99" spans="9:12" x14ac:dyDescent="0.2">
      <c r="I99" s="1">
        <v>95</v>
      </c>
      <c r="J99" s="1">
        <f t="shared" si="11"/>
        <v>1.46999999999999</v>
      </c>
      <c r="K99" s="1">
        <f t="shared" si="9"/>
        <v>0.77305443327955958</v>
      </c>
      <c r="L99" s="1">
        <f t="shared" si="10"/>
        <v>0.77304788662473511</v>
      </c>
    </row>
    <row r="100" spans="9:12" x14ac:dyDescent="0.2">
      <c r="I100" s="1">
        <v>96</v>
      </c>
      <c r="J100" s="1">
        <f t="shared" si="11"/>
        <v>1.4749999999999899</v>
      </c>
      <c r="K100" s="1">
        <f t="shared" si="9"/>
        <v>0.80288010636976814</v>
      </c>
      <c r="L100" s="1">
        <f t="shared" si="10"/>
        <v>0.80287355971494367</v>
      </c>
    </row>
    <row r="101" spans="9:12" x14ac:dyDescent="0.2">
      <c r="I101" s="1">
        <v>97</v>
      </c>
      <c r="J101" s="1">
        <f t="shared" si="11"/>
        <v>1.4799999999999898</v>
      </c>
      <c r="K101" s="1">
        <f t="shared" si="9"/>
        <v>0.83346981630814887</v>
      </c>
      <c r="L101" s="1">
        <f t="shared" si="10"/>
        <v>0.8334632696533244</v>
      </c>
    </row>
    <row r="102" spans="9:12" x14ac:dyDescent="0.2">
      <c r="I102" s="1">
        <v>98</v>
      </c>
      <c r="J102" s="1">
        <f t="shared" si="11"/>
        <v>1.4849999999999897</v>
      </c>
      <c r="K102" s="1">
        <f t="shared" si="9"/>
        <v>0.86483566896436437</v>
      </c>
      <c r="L102" s="1">
        <f t="shared" si="10"/>
        <v>0.8648291223095399</v>
      </c>
    </row>
    <row r="103" spans="9:12" x14ac:dyDescent="0.2">
      <c r="I103" s="1">
        <v>99</v>
      </c>
      <c r="J103" s="1">
        <f t="shared" si="11"/>
        <v>1.4899999999999896</v>
      </c>
      <c r="K103" s="1">
        <f t="shared" si="9"/>
        <v>0.89698992211675255</v>
      </c>
      <c r="L103" s="1">
        <f t="shared" si="10"/>
        <v>0.89698337546192808</v>
      </c>
    </row>
    <row r="104" spans="9:12" x14ac:dyDescent="0.2">
      <c r="I104" s="1">
        <v>100</v>
      </c>
      <c r="J104" s="1">
        <f t="shared" si="11"/>
        <v>1.4949999999999894</v>
      </c>
      <c r="K104" s="1">
        <f t="shared" si="9"/>
        <v>0.92994498715835694</v>
      </c>
      <c r="L104" s="1">
        <f t="shared" si="10"/>
        <v>0.92993844050353247</v>
      </c>
    </row>
  </sheetData>
  <phoneticPr fontId="2" type="noConversion"/>
  <conditionalFormatting sqref="D5">
    <cfRule type="expression" dxfId="9" priority="1" stopIfTrue="1">
      <formula>$A$7=0</formula>
    </cfRule>
  </conditionalFormatting>
  <conditionalFormatting sqref="I5:L104">
    <cfRule type="expression" dxfId="8" priority="2" stopIfTrue="1">
      <formula>$L5=0</formula>
    </cfRule>
  </conditionalFormatting>
  <conditionalFormatting sqref="A6:E45">
    <cfRule type="expression" dxfId="7" priority="3" stopIfTrue="1">
      <formula>$E6=0</formula>
    </cfRule>
  </conditionalFormatting>
  <pageMargins left="0.75" right="0.75" top="1" bottom="1" header="0.5" footer="0.5"/>
  <pageSetup paperSize="9" orientation="portrait" horizontalDpi="200" verticalDpi="200" r:id="rId1"/>
  <headerFooter alignWithMargins="0"/>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Worksheet____3"/>
  <dimension ref="A1:P106"/>
  <sheetViews>
    <sheetView workbookViewId="0"/>
  </sheetViews>
  <sheetFormatPr defaultRowHeight="12.75" x14ac:dyDescent="0.2"/>
  <cols>
    <col min="1" max="1" width="4.140625" customWidth="1"/>
    <col min="2" max="2" width="10.28515625" bestFit="1" customWidth="1"/>
    <col min="3" max="3" width="13.140625" customWidth="1"/>
    <col min="4" max="4" width="20.140625" customWidth="1"/>
    <col min="5" max="5" width="6.42578125" bestFit="1" customWidth="1"/>
    <col min="6" max="6" width="12" bestFit="1" customWidth="1"/>
    <col min="7" max="7" width="12.5703125" bestFit="1" customWidth="1"/>
    <col min="8" max="8" width="15.28515625" customWidth="1"/>
    <col min="9" max="9" width="11" customWidth="1"/>
    <col min="10" max="10" width="15.140625" customWidth="1"/>
  </cols>
  <sheetData>
    <row r="1" spans="1:16" x14ac:dyDescent="0.2">
      <c r="A1" t="s">
        <v>54</v>
      </c>
      <c r="L1">
        <f ca="1">sheet4!K7</f>
        <v>27990</v>
      </c>
      <c r="O1">
        <f ca="1">IF(L1&lt;=3,21,MATCH(0,sheet3!K7:K27,0))</f>
        <v>3</v>
      </c>
      <c r="P1" s="75" t="s">
        <v>55</v>
      </c>
    </row>
    <row r="2" spans="1:16" ht="13.5" thickBot="1" x14ac:dyDescent="0.25">
      <c r="A2" t="s">
        <v>56</v>
      </c>
      <c r="P2" s="75" t="s">
        <v>57</v>
      </c>
    </row>
    <row r="3" spans="1:16" ht="12.75" customHeight="1" x14ac:dyDescent="0.2">
      <c r="A3" t="s">
        <v>58</v>
      </c>
      <c r="H3" s="125" t="s">
        <v>59</v>
      </c>
      <c r="I3" s="126"/>
      <c r="J3" s="126"/>
      <c r="K3" s="127"/>
      <c r="P3" s="75" t="s">
        <v>60</v>
      </c>
    </row>
    <row r="4" spans="1:16" ht="12.75" customHeight="1" x14ac:dyDescent="0.2">
      <c r="H4" s="128"/>
      <c r="I4" s="129"/>
      <c r="J4" s="129"/>
      <c r="K4" s="130"/>
    </row>
    <row r="5" spans="1:16" ht="13.5" customHeight="1" thickBot="1" x14ac:dyDescent="0.25">
      <c r="A5" t="s">
        <v>72</v>
      </c>
      <c r="H5" s="131"/>
      <c r="I5" s="132"/>
      <c r="J5" s="132"/>
      <c r="K5" s="133"/>
    </row>
    <row r="6" spans="1:16" ht="59.25" customHeight="1" thickBot="1" x14ac:dyDescent="0.25">
      <c r="A6" s="97" t="s">
        <v>61</v>
      </c>
      <c r="B6" s="98" t="s">
        <v>62</v>
      </c>
      <c r="C6" s="98" t="s">
        <v>71</v>
      </c>
      <c r="D6" s="98" t="s">
        <v>69</v>
      </c>
      <c r="E6" s="98" t="s">
        <v>33</v>
      </c>
      <c r="F6" s="98" t="s">
        <v>30</v>
      </c>
      <c r="G6" s="99" t="s">
        <v>70</v>
      </c>
      <c r="H6" s="102" t="s">
        <v>34</v>
      </c>
      <c r="I6" s="103" t="s">
        <v>70</v>
      </c>
      <c r="J6" s="99" t="s">
        <v>63</v>
      </c>
      <c r="K6" s="99" t="s">
        <v>64</v>
      </c>
    </row>
    <row r="7" spans="1:16" ht="13.5" thickBot="1" x14ac:dyDescent="0.25">
      <c r="A7" s="60">
        <v>1</v>
      </c>
      <c r="B7" s="60">
        <f ca="1">IF(A7=sheet4!$A$7,sheet4!$B$7,B7)</f>
        <v>2005.002</v>
      </c>
      <c r="C7" s="60">
        <f ca="1">ABS($F$7-B7)</f>
        <v>1277.1331475409836</v>
      </c>
      <c r="D7" s="95"/>
      <c r="E7" s="100">
        <f>INDEX(H7:H27,E8)</f>
        <v>1.1000000000000001</v>
      </c>
      <c r="F7" s="101">
        <f>sheet1!I4</f>
        <v>727.86885245901635</v>
      </c>
      <c r="G7" s="96">
        <f ca="1">ABS((D46-D45)/D46)</f>
        <v>7.8298688407400558E-8</v>
      </c>
      <c r="H7" s="76">
        <v>1</v>
      </c>
      <c r="I7" s="77">
        <f ca="1">IF(H7=$E$7,$G$7,I7)</f>
        <v>1.2013301478659534E-3</v>
      </c>
      <c r="J7" s="78">
        <f ca="1">MIN(I7:I27)</f>
        <v>7.8298688407400558E-8</v>
      </c>
      <c r="K7" s="79">
        <f ca="1">I7-$J$7</f>
        <v>1.201251849177546E-3</v>
      </c>
    </row>
    <row r="8" spans="1:16" ht="14.25" customHeight="1" x14ac:dyDescent="0.2">
      <c r="A8" s="1">
        <v>2</v>
      </c>
      <c r="B8" s="1">
        <f ca="1">IF(A8=sheet4!$A$7,sheet4!$B$7,B8)</f>
        <v>2005.0029999999999</v>
      </c>
      <c r="C8" s="1">
        <f t="shared" ref="C8:C46" ca="1" si="0">ABS($F$7-B8)</f>
        <v>1277.1341475409836</v>
      </c>
      <c r="D8" s="1">
        <f ca="1">C8/C7^$E$7</f>
        <v>0.48907641753189379</v>
      </c>
      <c r="E8">
        <v>3</v>
      </c>
      <c r="H8" s="80">
        <v>1.05</v>
      </c>
      <c r="I8" s="29">
        <f t="shared" ref="I8:I27" ca="1" si="1">IF(H8=$E$7,$G$7,I8)</f>
        <v>5.0191333732135205E-4</v>
      </c>
      <c r="K8" s="81">
        <f t="shared" ref="K8:K27" ca="1" si="2">I8-$J$7</f>
        <v>5.0183503863294467E-4</v>
      </c>
    </row>
    <row r="9" spans="1:16" x14ac:dyDescent="0.2">
      <c r="A9" s="1">
        <v>3</v>
      </c>
      <c r="B9" s="1">
        <f ca="1">IF(A9=sheet4!$A$7,sheet4!$B$7,B9)</f>
        <v>2005.0039999999999</v>
      </c>
      <c r="C9" s="1">
        <f t="shared" ca="1" si="0"/>
        <v>1277.1351475409836</v>
      </c>
      <c r="D9" s="1">
        <f t="shared" ref="D9:D46" ca="1" si="3">C9/C8^$E$7</f>
        <v>0.48907637923674557</v>
      </c>
      <c r="H9" s="80">
        <v>1.1000000000000001</v>
      </c>
      <c r="I9" s="29">
        <f t="shared" ca="1" si="1"/>
        <v>7.8298688407400558E-8</v>
      </c>
      <c r="K9" s="81">
        <f t="shared" ca="1" si="2"/>
        <v>0</v>
      </c>
    </row>
    <row r="10" spans="1:16" x14ac:dyDescent="0.2">
      <c r="A10" s="1">
        <v>4</v>
      </c>
      <c r="B10" s="1">
        <f ca="1">IF(A10=sheet4!$A$7,sheet4!$B$7,B10)</f>
        <v>2005.0049999999999</v>
      </c>
      <c r="C10" s="1">
        <f t="shared" ca="1" si="0"/>
        <v>1277.1361475409835</v>
      </c>
      <c r="D10" s="1">
        <f t="shared" ca="1" si="3"/>
        <v>0.48907634094162944</v>
      </c>
      <c r="H10" s="80">
        <v>1.1499999999999999</v>
      </c>
      <c r="I10" s="29">
        <f t="shared" ca="1" si="1"/>
        <v>3.8997125646813404E-3</v>
      </c>
      <c r="K10" s="81">
        <f t="shared" ca="1" si="2"/>
        <v>3.8996342659929329E-3</v>
      </c>
    </row>
    <row r="11" spans="1:16" x14ac:dyDescent="0.2">
      <c r="A11" s="1">
        <v>5</v>
      </c>
      <c r="B11" s="1">
        <f ca="1">IF(A11=sheet4!$A$7,sheet4!$B$7,B11)</f>
        <v>2005.0059999999999</v>
      </c>
      <c r="C11" s="1">
        <f t="shared" ca="1" si="0"/>
        <v>1277.1371475409835</v>
      </c>
      <c r="D11" s="1">
        <f t="shared" ca="1" si="3"/>
        <v>0.48907630264654745</v>
      </c>
      <c r="H11" s="80">
        <v>1.2</v>
      </c>
      <c r="I11" s="29">
        <f t="shared" ca="1" si="1"/>
        <v>5.5942781571157469E-3</v>
      </c>
      <c r="K11" s="81">
        <f t="shared" ca="1" si="2"/>
        <v>5.5941998584273398E-3</v>
      </c>
    </row>
    <row r="12" spans="1:16" x14ac:dyDescent="0.2">
      <c r="A12" s="1">
        <v>6</v>
      </c>
      <c r="B12" s="1">
        <f ca="1">IF(A12=sheet4!$A$7,sheet4!$B$7,B12)</f>
        <v>2005.0069999999998</v>
      </c>
      <c r="C12" s="1">
        <f t="shared" ca="1" si="0"/>
        <v>1277.1381475409835</v>
      </c>
      <c r="D12" s="1">
        <f t="shared" ca="1" si="3"/>
        <v>0.48907626435149737</v>
      </c>
      <c r="H12" s="80">
        <v>1.25</v>
      </c>
      <c r="I12" s="29">
        <f t="shared" ca="1" si="1"/>
        <v>7.2859609549321145E-3</v>
      </c>
      <c r="K12" s="81">
        <f t="shared" ca="1" si="2"/>
        <v>7.2858826562437074E-3</v>
      </c>
    </row>
    <row r="13" spans="1:16" x14ac:dyDescent="0.2">
      <c r="A13" s="1">
        <v>7</v>
      </c>
      <c r="B13" s="1">
        <f ca="1">IF(A13=sheet4!$A$7,sheet4!$B$7,B13)</f>
        <v>2005.0079999999998</v>
      </c>
      <c r="C13" s="1">
        <f t="shared" ca="1" si="0"/>
        <v>1277.1391475409835</v>
      </c>
      <c r="D13" s="1">
        <f t="shared" ca="1" si="3"/>
        <v>0.48907622605648104</v>
      </c>
      <c r="H13" s="80">
        <v>1.3</v>
      </c>
      <c r="I13" s="29">
        <f t="shared" ca="1" si="1"/>
        <v>8.9747658623408472E-3</v>
      </c>
      <c r="K13" s="81">
        <f t="shared" ca="1" si="2"/>
        <v>8.9746875636524392E-3</v>
      </c>
    </row>
    <row r="14" spans="1:16" x14ac:dyDescent="0.2">
      <c r="A14" s="1">
        <v>8</v>
      </c>
      <c r="B14" s="1">
        <f ca="1">IF(A14=sheet4!$A$7,sheet4!$B$7,B14)</f>
        <v>2005.0089999999998</v>
      </c>
      <c r="C14" s="1">
        <f t="shared" ca="1" si="0"/>
        <v>1277.1401475409834</v>
      </c>
      <c r="D14" s="1">
        <f t="shared" ca="1" si="3"/>
        <v>0.48907618776149758</v>
      </c>
      <c r="H14" s="80">
        <v>1.35</v>
      </c>
      <c r="I14" s="29">
        <f t="shared" ca="1" si="1"/>
        <v>1.0660697775209053E-2</v>
      </c>
      <c r="K14" s="81">
        <f t="shared" ca="1" si="2"/>
        <v>1.0660619476520646E-2</v>
      </c>
    </row>
    <row r="15" spans="1:16" x14ac:dyDescent="0.2">
      <c r="A15" s="1">
        <v>9</v>
      </c>
      <c r="B15" s="1">
        <f ca="1">IF(A15=sheet4!$A$7,sheet4!$B$7,B15)</f>
        <v>2005.0099999999998</v>
      </c>
      <c r="C15" s="1">
        <f t="shared" ca="1" si="0"/>
        <v>1277.1411475409834</v>
      </c>
      <c r="D15" s="1">
        <f t="shared" ca="1" si="3"/>
        <v>0.48907614946654648</v>
      </c>
      <c r="H15" s="80">
        <v>1.4</v>
      </c>
      <c r="I15" s="29">
        <f t="shared" ca="1" si="1"/>
        <v>1.2343761581072596E-2</v>
      </c>
      <c r="K15" s="81">
        <f t="shared" ca="1" si="2"/>
        <v>1.2343683282384188E-2</v>
      </c>
    </row>
    <row r="16" spans="1:16" x14ac:dyDescent="0.2">
      <c r="A16" s="1">
        <v>10</v>
      </c>
      <c r="B16" s="1">
        <f ca="1">IF(A16=sheet4!$A$7,sheet4!$B$7,B16)</f>
        <v>2005.0109999999997</v>
      </c>
      <c r="C16" s="1">
        <f t="shared" ca="1" si="0"/>
        <v>1277.1421475409834</v>
      </c>
      <c r="D16" s="1">
        <f t="shared" ca="1" si="3"/>
        <v>0.48907611117162875</v>
      </c>
      <c r="H16" s="80">
        <v>1.45</v>
      </c>
      <c r="I16" s="29">
        <f t="shared" ca="1" si="1"/>
        <v>1.4023962159155572E-2</v>
      </c>
      <c r="K16" s="81">
        <f t="shared" ca="1" si="2"/>
        <v>1.4023883860467164E-2</v>
      </c>
    </row>
    <row r="17" spans="1:12" x14ac:dyDescent="0.2">
      <c r="A17" s="1">
        <v>11</v>
      </c>
      <c r="B17" s="1">
        <f ca="1">IF(A17=sheet4!$A$7,sheet4!$B$7,B17)</f>
        <v>2005.0119999999997</v>
      </c>
      <c r="C17" s="1">
        <f t="shared" ca="1" si="0"/>
        <v>1277.1431475409834</v>
      </c>
      <c r="D17" s="1">
        <f t="shared" ca="1" si="3"/>
        <v>0.48907607287674426</v>
      </c>
      <c r="H17" s="80">
        <v>1.5</v>
      </c>
      <c r="I17" s="29">
        <f t="shared" ca="1" si="1"/>
        <v>1.5701304380380435E-2</v>
      </c>
      <c r="K17" s="81">
        <f t="shared" ca="1" si="2"/>
        <v>1.5701226081692027E-2</v>
      </c>
    </row>
    <row r="18" spans="1:12" x14ac:dyDescent="0.2">
      <c r="A18" s="1">
        <v>12</v>
      </c>
      <c r="B18" s="1">
        <f ca="1">IF(A18=sheet4!$A$7,sheet4!$B$7,B18)</f>
        <v>2005.0129999999997</v>
      </c>
      <c r="C18" s="1">
        <f t="shared" ca="1" si="0"/>
        <v>1277.1441475409833</v>
      </c>
      <c r="D18" s="1">
        <f t="shared" ca="1" si="3"/>
        <v>0.48907603458189219</v>
      </c>
      <c r="H18" s="80">
        <v>1.55</v>
      </c>
      <c r="I18" s="29">
        <f t="shared" ca="1" si="1"/>
        <v>1.7375793107384123E-2</v>
      </c>
      <c r="K18" s="81">
        <f t="shared" ca="1" si="2"/>
        <v>1.7375714808695715E-2</v>
      </c>
    </row>
    <row r="19" spans="1:12" x14ac:dyDescent="0.2">
      <c r="A19" s="1">
        <v>13</v>
      </c>
      <c r="B19" s="1">
        <f ca="1">IF(A19=sheet4!$A$7,sheet4!$B$7,B19)</f>
        <v>2005.0139999999997</v>
      </c>
      <c r="C19" s="1">
        <f t="shared" ca="1" si="0"/>
        <v>1277.1451475409833</v>
      </c>
      <c r="D19" s="1">
        <f t="shared" ca="1" si="3"/>
        <v>0.48907599628707388</v>
      </c>
      <c r="H19" s="80">
        <v>1.6</v>
      </c>
      <c r="I19" s="29">
        <f t="shared" ca="1" si="1"/>
        <v>1.9047433194528597E-2</v>
      </c>
      <c r="K19" s="81">
        <f t="shared" ca="1" si="2"/>
        <v>1.9047354895840189E-2</v>
      </c>
    </row>
    <row r="20" spans="1:12" x14ac:dyDescent="0.2">
      <c r="A20" s="1">
        <v>14</v>
      </c>
      <c r="B20" s="1">
        <f ca="1">IF(A20=sheet4!$A$7,sheet4!$B$7,B20)</f>
        <v>2005.0149999999996</v>
      </c>
      <c r="C20" s="1">
        <f t="shared" ca="1" si="0"/>
        <v>1277.1461475409833</v>
      </c>
      <c r="D20" s="1">
        <f t="shared" ca="1" si="3"/>
        <v>0.48907595799228792</v>
      </c>
      <c r="H20" s="80">
        <v>1.65</v>
      </c>
      <c r="I20" s="29">
        <f t="shared" ca="1" si="1"/>
        <v>2.0716229487919954E-2</v>
      </c>
      <c r="K20" s="81">
        <f t="shared" ca="1" si="2"/>
        <v>2.0716151189231546E-2</v>
      </c>
    </row>
    <row r="21" spans="1:12" x14ac:dyDescent="0.2">
      <c r="A21" s="1">
        <v>15</v>
      </c>
      <c r="B21" s="1">
        <f ca="1">IF(A21=sheet4!$A$7,sheet4!$B$7,B21)</f>
        <v>2005.0159999999996</v>
      </c>
      <c r="C21" s="1">
        <f t="shared" ca="1" si="0"/>
        <v>1277.1471475409833</v>
      </c>
      <c r="D21" s="1">
        <f t="shared" ca="1" si="3"/>
        <v>0.48907591969753533</v>
      </c>
      <c r="H21" s="80">
        <v>1.7</v>
      </c>
      <c r="I21" s="29">
        <f t="shared" ca="1" si="1"/>
        <v>2.2382186825420061E-2</v>
      </c>
      <c r="K21" s="81">
        <f t="shared" ca="1" si="2"/>
        <v>2.2382108526731653E-2</v>
      </c>
    </row>
    <row r="22" spans="1:12" x14ac:dyDescent="0.2">
      <c r="A22" s="1">
        <v>16</v>
      </c>
      <c r="B22" s="1">
        <f ca="1">IF(A22=sheet4!$A$7,sheet4!$B$7,B22)</f>
        <v>2005.0169999999996</v>
      </c>
      <c r="C22" s="1">
        <f t="shared" ca="1" si="0"/>
        <v>1277.1481475409832</v>
      </c>
      <c r="D22" s="1">
        <f t="shared" ca="1" si="3"/>
        <v>0.48907588140281505</v>
      </c>
      <c r="H22" s="80">
        <v>1.75</v>
      </c>
      <c r="I22" s="29">
        <f t="shared" ca="1" si="1"/>
        <v>2.4045310036659662E-2</v>
      </c>
      <c r="K22" s="81">
        <f t="shared" ca="1" si="2"/>
        <v>2.4045231737971254E-2</v>
      </c>
    </row>
    <row r="23" spans="1:12" x14ac:dyDescent="0.2">
      <c r="A23" s="1">
        <v>17</v>
      </c>
      <c r="B23" s="1">
        <f ca="1">IF(A23=sheet4!$A$7,sheet4!$B$7,B23)</f>
        <v>2005.0179999999996</v>
      </c>
      <c r="C23" s="1">
        <f t="shared" ca="1" si="0"/>
        <v>1277.1491475409832</v>
      </c>
      <c r="D23" s="1">
        <f t="shared" ca="1" si="3"/>
        <v>0.48907584310812863</v>
      </c>
      <c r="H23" s="80">
        <v>1.8</v>
      </c>
      <c r="I23" s="29">
        <f t="shared" ca="1" si="1"/>
        <v>2.5705603943054753E-2</v>
      </c>
      <c r="K23" s="81">
        <f t="shared" ca="1" si="2"/>
        <v>2.5705525644366345E-2</v>
      </c>
    </row>
    <row r="24" spans="1:12" x14ac:dyDescent="0.2">
      <c r="A24" s="1">
        <v>18</v>
      </c>
      <c r="B24" s="1">
        <f ca="1">IF(A24=sheet4!$A$7,sheet4!$B$7,B24)</f>
        <v>2005.0189999999996</v>
      </c>
      <c r="C24" s="1">
        <f t="shared" ca="1" si="0"/>
        <v>1277.1501475409832</v>
      </c>
      <c r="D24" s="1">
        <f t="shared" ca="1" si="3"/>
        <v>0.48907580481347457</v>
      </c>
      <c r="H24" s="80">
        <v>1.85</v>
      </c>
      <c r="I24" s="29">
        <f t="shared" ca="1" si="1"/>
        <v>2.736307335781726E-2</v>
      </c>
      <c r="K24" s="81">
        <f t="shared" ca="1" si="2"/>
        <v>2.7362995059128852E-2</v>
      </c>
    </row>
    <row r="25" spans="1:12" x14ac:dyDescent="0.2">
      <c r="A25" s="1">
        <v>19</v>
      </c>
      <c r="B25" s="1">
        <f ca="1">IF(A25=sheet4!$A$7,sheet4!$B$7,B25)</f>
        <v>2005.0199999999995</v>
      </c>
      <c r="C25" s="1">
        <f t="shared" ca="1" si="0"/>
        <v>1277.1511475409832</v>
      </c>
      <c r="D25" s="1">
        <f t="shared" ca="1" si="3"/>
        <v>0.48907576651885376</v>
      </c>
      <c r="H25" s="80">
        <v>1.9</v>
      </c>
      <c r="I25" s="29">
        <f t="shared" ca="1" si="1"/>
        <v>2.9017723085970851E-2</v>
      </c>
      <c r="K25" s="81">
        <f t="shared" ca="1" si="2"/>
        <v>2.9017644787282443E-2</v>
      </c>
    </row>
    <row r="26" spans="1:12" ht="12.75" customHeight="1" x14ac:dyDescent="0.2">
      <c r="A26" s="1">
        <v>20</v>
      </c>
      <c r="B26" s="1">
        <f ca="1">IF(A26=sheet4!$A$7,sheet4!$B$7,B26)</f>
        <v>2005.0209999999995</v>
      </c>
      <c r="C26" s="1">
        <f t="shared" ca="1" si="0"/>
        <v>1277.1521475409832</v>
      </c>
      <c r="D26" s="1">
        <f t="shared" ca="1" si="3"/>
        <v>0.48907572822426626</v>
      </c>
      <c r="H26" s="80">
        <v>1.95</v>
      </c>
      <c r="I26" s="29">
        <f t="shared" ca="1" si="1"/>
        <v>3.06695579243659E-2</v>
      </c>
      <c r="K26" s="81">
        <f t="shared" ca="1" si="2"/>
        <v>3.0669479625677492E-2</v>
      </c>
    </row>
    <row r="27" spans="1:12" ht="12.75" customHeight="1" thickBot="1" x14ac:dyDescent="0.25">
      <c r="A27" s="1">
        <v>21</v>
      </c>
      <c r="B27" s="1">
        <f ca="1">IF(A27=sheet4!$A$7,sheet4!$B$7,B27)</f>
        <v>2005.0219999999995</v>
      </c>
      <c r="C27" s="1">
        <f t="shared" ca="1" si="0"/>
        <v>1277.1531475409831</v>
      </c>
      <c r="D27" s="1">
        <f t="shared" ca="1" si="3"/>
        <v>0.48907568992971123</v>
      </c>
      <c r="H27" s="82">
        <v>2</v>
      </c>
      <c r="I27" s="83">
        <f t="shared" ca="1" si="1"/>
        <v>3.2318582661694885E-2</v>
      </c>
      <c r="K27" s="84">
        <f t="shared" ca="1" si="2"/>
        <v>3.2318504363006477E-2</v>
      </c>
    </row>
    <row r="28" spans="1:12" ht="12.75" customHeight="1" x14ac:dyDescent="0.2">
      <c r="A28" s="1">
        <v>22</v>
      </c>
      <c r="B28" s="1">
        <f ca="1">IF(A28=sheet4!$A$7,sheet4!$B$7,B28)</f>
        <v>2005.0229999999995</v>
      </c>
      <c r="C28" s="1">
        <f t="shared" ca="1" si="0"/>
        <v>1277.1541475409831</v>
      </c>
      <c r="D28" s="1">
        <f t="shared" ca="1" si="3"/>
        <v>0.48907565163518946</v>
      </c>
      <c r="H28" s="116" t="s">
        <v>65</v>
      </c>
      <c r="I28" s="117"/>
      <c r="J28" s="117"/>
      <c r="K28" s="117"/>
      <c r="L28" s="118"/>
    </row>
    <row r="29" spans="1:12" ht="12.75" customHeight="1" x14ac:dyDescent="0.2">
      <c r="A29" s="1">
        <v>23</v>
      </c>
      <c r="B29" s="1">
        <f ca="1">IF(A29=sheet4!$A$7,sheet4!$B$7,B29)</f>
        <v>2005.0239999999994</v>
      </c>
      <c r="C29" s="1">
        <f t="shared" ca="1" si="0"/>
        <v>1277.1551475409831</v>
      </c>
      <c r="D29" s="1">
        <f t="shared" ca="1" si="3"/>
        <v>0.48907561334070049</v>
      </c>
      <c r="H29" s="119"/>
      <c r="I29" s="120"/>
      <c r="J29" s="120"/>
      <c r="K29" s="120"/>
      <c r="L29" s="121"/>
    </row>
    <row r="30" spans="1:12" ht="12.75" customHeight="1" x14ac:dyDescent="0.2">
      <c r="A30" s="1">
        <v>24</v>
      </c>
      <c r="B30" s="1">
        <f ca="1">IF(A30=sheet4!$A$7,sheet4!$B$7,B30)</f>
        <v>2005.0249999999994</v>
      </c>
      <c r="C30" s="1">
        <f t="shared" ca="1" si="0"/>
        <v>1277.1561475409831</v>
      </c>
      <c r="D30" s="1">
        <f t="shared" ca="1" si="3"/>
        <v>0.48907557504624449</v>
      </c>
      <c r="H30" s="119"/>
      <c r="I30" s="120"/>
      <c r="J30" s="120"/>
      <c r="K30" s="120"/>
      <c r="L30" s="121"/>
    </row>
    <row r="31" spans="1:12" ht="13.5" customHeight="1" x14ac:dyDescent="0.2">
      <c r="A31" s="1">
        <v>25</v>
      </c>
      <c r="B31" s="1">
        <f ca="1">IF(A31=sheet4!$A$7,sheet4!$B$7,B31)</f>
        <v>2005.0259999999994</v>
      </c>
      <c r="C31" s="1">
        <f t="shared" ca="1" si="0"/>
        <v>1277.157147540983</v>
      </c>
      <c r="D31" s="1">
        <f t="shared" ca="1" si="3"/>
        <v>0.48907553675182175</v>
      </c>
      <c r="H31" s="119"/>
      <c r="I31" s="120"/>
      <c r="J31" s="120"/>
      <c r="K31" s="120"/>
      <c r="L31" s="121"/>
    </row>
    <row r="32" spans="1:12" x14ac:dyDescent="0.2">
      <c r="A32" s="1">
        <v>26</v>
      </c>
      <c r="B32" s="1">
        <f ca="1">IF(A32=sheet4!$A$7,sheet4!$B$7,B32)</f>
        <v>2005.0269999999994</v>
      </c>
      <c r="C32" s="1">
        <f t="shared" ca="1" si="0"/>
        <v>1277.158147540983</v>
      </c>
      <c r="D32" s="1">
        <f t="shared" ca="1" si="3"/>
        <v>0.48907549845743137</v>
      </c>
      <c r="H32" s="119"/>
      <c r="I32" s="120"/>
      <c r="J32" s="120"/>
      <c r="K32" s="120"/>
      <c r="L32" s="121"/>
    </row>
    <row r="33" spans="1:13" x14ac:dyDescent="0.2">
      <c r="A33" s="1">
        <v>27</v>
      </c>
      <c r="B33" s="1">
        <f ca="1">IF(A33=sheet4!$A$7,sheet4!$B$7,B33)</f>
        <v>2005.0279999999993</v>
      </c>
      <c r="C33" s="1">
        <f t="shared" ca="1" si="0"/>
        <v>1277.159147540983</v>
      </c>
      <c r="D33" s="1">
        <f t="shared" ca="1" si="3"/>
        <v>0.48907546016307479</v>
      </c>
      <c r="H33" s="119"/>
      <c r="I33" s="120"/>
      <c r="J33" s="120"/>
      <c r="K33" s="120"/>
      <c r="L33" s="121"/>
    </row>
    <row r="34" spans="1:13" ht="13.5" thickBot="1" x14ac:dyDescent="0.25">
      <c r="A34" s="1">
        <v>28</v>
      </c>
      <c r="B34" s="1">
        <f ca="1">IF(A34=sheet4!$A$7,sheet4!$B$7,B34)</f>
        <v>2005.0289999999993</v>
      </c>
      <c r="C34" s="1">
        <f t="shared" ca="1" si="0"/>
        <v>1277.160147540983</v>
      </c>
      <c r="D34" s="1">
        <f t="shared" ca="1" si="3"/>
        <v>0.48907542186875064</v>
      </c>
      <c r="H34" s="122"/>
      <c r="I34" s="123"/>
      <c r="J34" s="123"/>
      <c r="K34" s="123"/>
      <c r="L34" s="124"/>
    </row>
    <row r="35" spans="1:13" ht="13.5" thickBot="1" x14ac:dyDescent="0.25">
      <c r="A35" s="1">
        <v>29</v>
      </c>
      <c r="B35" s="1">
        <f ca="1">IF(A35=sheet4!$A$7,sheet4!$B$7,B35)</f>
        <v>2005.0299999999993</v>
      </c>
      <c r="C35" s="1">
        <f t="shared" ca="1" si="0"/>
        <v>1277.1611475409829</v>
      </c>
      <c r="D35" s="1">
        <f t="shared" ca="1" si="3"/>
        <v>0.48907538357445929</v>
      </c>
    </row>
    <row r="36" spans="1:13" ht="15" x14ac:dyDescent="0.2">
      <c r="A36" s="1">
        <v>30</v>
      </c>
      <c r="B36" s="1">
        <f ca="1">IF(A36=sheet4!$A$7,sheet4!$B$7,B36)</f>
        <v>2005.0309999999993</v>
      </c>
      <c r="C36" s="1">
        <f t="shared" ca="1" si="0"/>
        <v>1277.1621475409829</v>
      </c>
      <c r="D36" s="1">
        <f t="shared" ca="1" si="3"/>
        <v>0.48907534528020175</v>
      </c>
      <c r="F36" s="116" t="s">
        <v>73</v>
      </c>
      <c r="G36" s="117"/>
      <c r="H36" s="117"/>
      <c r="I36" s="117"/>
      <c r="J36" s="118"/>
      <c r="K36" s="85"/>
      <c r="L36" s="85"/>
      <c r="M36" s="85"/>
    </row>
    <row r="37" spans="1:13" ht="15" x14ac:dyDescent="0.2">
      <c r="A37" s="1">
        <v>31</v>
      </c>
      <c r="B37" s="1">
        <f ca="1">IF(A37=sheet4!$A$7,sheet4!$B$7,B37)</f>
        <v>2005.0319999999992</v>
      </c>
      <c r="C37" s="1">
        <f t="shared" ca="1" si="0"/>
        <v>1277.1631475409829</v>
      </c>
      <c r="D37" s="1">
        <f t="shared" ca="1" si="3"/>
        <v>0.48907530698597651</v>
      </c>
      <c r="F37" s="119"/>
      <c r="G37" s="120"/>
      <c r="H37" s="120"/>
      <c r="I37" s="120"/>
      <c r="J37" s="121"/>
      <c r="K37" s="85"/>
      <c r="L37" s="85"/>
      <c r="M37" s="85"/>
    </row>
    <row r="38" spans="1:13" ht="15" x14ac:dyDescent="0.2">
      <c r="A38" s="1">
        <v>32</v>
      </c>
      <c r="B38" s="1">
        <f ca="1">IF(A38=sheet4!$A$7,sheet4!$B$7,B38)</f>
        <v>2005.0329999999992</v>
      </c>
      <c r="C38" s="1">
        <f t="shared" ca="1" si="0"/>
        <v>1277.1641475409829</v>
      </c>
      <c r="D38" s="1">
        <f t="shared" ca="1" si="3"/>
        <v>0.48907526869178469</v>
      </c>
      <c r="F38" s="119"/>
      <c r="G38" s="120"/>
      <c r="H38" s="120"/>
      <c r="I38" s="120"/>
      <c r="J38" s="121"/>
      <c r="K38" s="85"/>
      <c r="L38" s="85"/>
      <c r="M38" s="85"/>
    </row>
    <row r="39" spans="1:13" ht="15" x14ac:dyDescent="0.2">
      <c r="A39" s="1">
        <v>33</v>
      </c>
      <c r="B39" s="1">
        <f ca="1">IF(A39=sheet4!$A$7,sheet4!$B$7,B39)</f>
        <v>2005.0339999999992</v>
      </c>
      <c r="C39" s="1">
        <f t="shared" ca="1" si="0"/>
        <v>1277.1651475409828</v>
      </c>
      <c r="D39" s="1">
        <f t="shared" ca="1" si="3"/>
        <v>0.48907523039762518</v>
      </c>
      <c r="F39" s="119"/>
      <c r="G39" s="120"/>
      <c r="H39" s="120"/>
      <c r="I39" s="120"/>
      <c r="J39" s="121"/>
      <c r="K39" s="85"/>
      <c r="L39" s="85"/>
      <c r="M39" s="85"/>
    </row>
    <row r="40" spans="1:13" ht="15" x14ac:dyDescent="0.2">
      <c r="A40" s="1">
        <v>34</v>
      </c>
      <c r="B40" s="1">
        <f ca="1">IF(A40=sheet4!$A$7,sheet4!$B$7,B40)</f>
        <v>2005.0349999999992</v>
      </c>
      <c r="C40" s="1">
        <f t="shared" ca="1" si="0"/>
        <v>1277.1661475409828</v>
      </c>
      <c r="D40" s="1">
        <f t="shared" ca="1" si="3"/>
        <v>0.48907519210349948</v>
      </c>
      <c r="F40" s="119"/>
      <c r="G40" s="120"/>
      <c r="H40" s="120"/>
      <c r="I40" s="120"/>
      <c r="J40" s="121"/>
      <c r="K40" s="85"/>
      <c r="L40" s="85"/>
      <c r="M40" s="85"/>
    </row>
    <row r="41" spans="1:13" ht="15" x14ac:dyDescent="0.2">
      <c r="A41" s="1">
        <v>35</v>
      </c>
      <c r="B41" s="1">
        <f ca="1">IF(A41=sheet4!$A$7,sheet4!$B$7,B41)</f>
        <v>2005.0359999999991</v>
      </c>
      <c r="C41" s="1">
        <f t="shared" ca="1" si="0"/>
        <v>1277.1671475409828</v>
      </c>
      <c r="D41" s="1">
        <f t="shared" ca="1" si="3"/>
        <v>0.48907515380940625</v>
      </c>
      <c r="F41" s="119"/>
      <c r="G41" s="120"/>
      <c r="H41" s="120"/>
      <c r="I41" s="120"/>
      <c r="J41" s="121"/>
      <c r="K41" s="85"/>
      <c r="L41" s="85"/>
      <c r="M41" s="85"/>
    </row>
    <row r="42" spans="1:13" ht="15.75" thickBot="1" x14ac:dyDescent="0.25">
      <c r="A42" s="1">
        <v>36</v>
      </c>
      <c r="B42" s="1">
        <f ca="1">IF(A42=sheet4!$A$7,sheet4!$B$7,B42)</f>
        <v>2005.0369999999991</v>
      </c>
      <c r="C42" s="1">
        <f t="shared" ca="1" si="0"/>
        <v>1277.1681475409828</v>
      </c>
      <c r="D42" s="1">
        <f t="shared" ca="1" si="3"/>
        <v>0.48907511551534577</v>
      </c>
      <c r="F42" s="122"/>
      <c r="G42" s="123"/>
      <c r="H42" s="123"/>
      <c r="I42" s="123"/>
      <c r="J42" s="124"/>
      <c r="K42" s="85"/>
      <c r="L42" s="85"/>
      <c r="M42" s="85"/>
    </row>
    <row r="43" spans="1:13" ht="15" x14ac:dyDescent="0.2">
      <c r="A43" s="1">
        <v>37</v>
      </c>
      <c r="B43" s="1">
        <f ca="1">IF(A43=sheet4!$A$7,sheet4!$B$7,B43)</f>
        <v>2005.0379999999991</v>
      </c>
      <c r="C43" s="1">
        <f t="shared" ca="1" si="0"/>
        <v>1277.1691475409827</v>
      </c>
      <c r="D43" s="1">
        <f t="shared" ca="1" si="3"/>
        <v>0.48907507722131915</v>
      </c>
      <c r="F43" s="85"/>
      <c r="G43" s="85"/>
      <c r="H43" s="85"/>
      <c r="I43" s="85"/>
      <c r="J43" s="85"/>
      <c r="K43" s="85"/>
      <c r="L43" s="85"/>
      <c r="M43" s="85"/>
    </row>
    <row r="44" spans="1:13" ht="15" x14ac:dyDescent="0.2">
      <c r="A44" s="1">
        <v>38</v>
      </c>
      <c r="B44" s="1">
        <f ca="1">IF(A44=sheet4!$A$7,sheet4!$B$7,B44)</f>
        <v>2005.0389999999991</v>
      </c>
      <c r="C44" s="1">
        <f t="shared" ca="1" si="0"/>
        <v>1277.1701475409827</v>
      </c>
      <c r="D44" s="1">
        <f t="shared" ca="1" si="3"/>
        <v>0.48907503892732485</v>
      </c>
      <c r="F44" s="85"/>
      <c r="G44" s="85"/>
      <c r="H44" s="85"/>
      <c r="I44" s="85"/>
      <c r="J44" s="85"/>
      <c r="K44" s="85"/>
      <c r="L44" s="85"/>
      <c r="M44" s="85"/>
    </row>
    <row r="45" spans="1:13" ht="15" x14ac:dyDescent="0.2">
      <c r="A45" s="1">
        <v>39</v>
      </c>
      <c r="B45" s="1">
        <f ca="1">IF(A45=sheet4!$A$7,sheet4!$B$7,B45)</f>
        <v>2005.0399999999991</v>
      </c>
      <c r="C45" s="1">
        <f t="shared" ca="1" si="0"/>
        <v>1277.1711475409827</v>
      </c>
      <c r="D45" s="1">
        <f t="shared" ca="1" si="3"/>
        <v>0.48907500063336345</v>
      </c>
      <c r="F45" s="85"/>
      <c r="G45" s="85"/>
      <c r="H45" s="85"/>
      <c r="I45" s="85"/>
      <c r="J45" s="85"/>
      <c r="K45" s="85"/>
      <c r="L45" s="85"/>
      <c r="M45" s="85"/>
    </row>
    <row r="46" spans="1:13" ht="15" x14ac:dyDescent="0.2">
      <c r="A46" s="1">
        <v>40</v>
      </c>
      <c r="B46" s="1">
        <f ca="1">IF(A46=sheet4!$A$7,sheet4!$B$7,B46)</f>
        <v>2005.040999999999</v>
      </c>
      <c r="C46" s="1">
        <f t="shared" ca="1" si="0"/>
        <v>1277.1721475409827</v>
      </c>
      <c r="D46" s="1">
        <f t="shared" ca="1" si="3"/>
        <v>0.48907496233943537</v>
      </c>
      <c r="F46" s="85"/>
      <c r="G46" s="85"/>
      <c r="H46" s="85"/>
      <c r="I46" s="85"/>
      <c r="J46" s="85"/>
      <c r="K46" s="85"/>
      <c r="L46" s="85"/>
      <c r="M46" s="85"/>
    </row>
    <row r="47" spans="1:13" ht="15" x14ac:dyDescent="0.2">
      <c r="A47" s="1">
        <v>41</v>
      </c>
      <c r="B47" s="1">
        <f ca="1">IF(A47=sheet4!$A$7,sheet4!$B$7,B47)</f>
        <v>2005.041999999999</v>
      </c>
      <c r="C47" s="1">
        <f t="shared" ref="C47:C106" ca="1" si="4">ABS($F$7-B47)</f>
        <v>1277.1731475409827</v>
      </c>
      <c r="D47" s="1">
        <f t="shared" ref="D47:D106" ca="1" si="5">C47/C46^$E$7</f>
        <v>0.48907492404554015</v>
      </c>
      <c r="F47" s="85"/>
      <c r="G47" s="85"/>
      <c r="H47" s="85"/>
      <c r="I47" s="85"/>
      <c r="J47" s="85"/>
      <c r="K47" s="85"/>
      <c r="L47" s="85"/>
      <c r="M47" s="85"/>
    </row>
    <row r="48" spans="1:13" x14ac:dyDescent="0.2">
      <c r="A48" s="1">
        <v>42</v>
      </c>
      <c r="B48" s="1">
        <f ca="1">IF(A48=sheet4!$A$7,sheet4!$B$7,B48)</f>
        <v>2005.042999999999</v>
      </c>
      <c r="C48" s="1">
        <f t="shared" ca="1" si="4"/>
        <v>1277.1741475409826</v>
      </c>
      <c r="D48" s="1">
        <f t="shared" ca="1" si="5"/>
        <v>0.48907488575167779</v>
      </c>
    </row>
    <row r="49" spans="1:4" x14ac:dyDescent="0.2">
      <c r="A49" s="1">
        <v>43</v>
      </c>
      <c r="B49" s="1">
        <f ca="1">IF(A49=sheet4!$A$7,sheet4!$B$7,B49)</f>
        <v>2005.043999999999</v>
      </c>
      <c r="C49" s="1">
        <f t="shared" ca="1" si="4"/>
        <v>1277.1751475409826</v>
      </c>
      <c r="D49" s="1">
        <f t="shared" ca="1" si="5"/>
        <v>0.48907484745784835</v>
      </c>
    </row>
    <row r="50" spans="1:4" x14ac:dyDescent="0.2">
      <c r="A50" s="1">
        <v>44</v>
      </c>
      <c r="B50" s="1">
        <f ca="1">IF(A50=sheet4!$A$7,sheet4!$B$7,B50)</f>
        <v>2005.0449999999989</v>
      </c>
      <c r="C50" s="1">
        <f t="shared" ca="1" si="4"/>
        <v>1277.1761475409826</v>
      </c>
      <c r="D50" s="1">
        <f t="shared" ca="1" si="5"/>
        <v>0.4890748091640526</v>
      </c>
    </row>
    <row r="51" spans="1:4" x14ac:dyDescent="0.2">
      <c r="A51" s="1">
        <v>45</v>
      </c>
      <c r="B51" s="1">
        <f ca="1">IF(A51=sheet4!$A$7,sheet4!$B$7,B51)</f>
        <v>2005.0459999999989</v>
      </c>
      <c r="C51" s="1">
        <f t="shared" ca="1" si="4"/>
        <v>1277.1771475409826</v>
      </c>
      <c r="D51" s="1">
        <f t="shared" ca="1" si="5"/>
        <v>0.48907477087028878</v>
      </c>
    </row>
    <row r="52" spans="1:4" x14ac:dyDescent="0.2">
      <c r="A52" s="1">
        <v>46</v>
      </c>
      <c r="B52" s="1">
        <f ca="1">IF(A52=sheet4!$A$7,sheet4!$B$7,B52)</f>
        <v>2005.0469999999989</v>
      </c>
      <c r="C52" s="1">
        <f t="shared" ca="1" si="4"/>
        <v>1277.1781475409825</v>
      </c>
      <c r="D52" s="1">
        <f t="shared" ca="1" si="5"/>
        <v>0.48907473257655881</v>
      </c>
    </row>
    <row r="53" spans="1:4" x14ac:dyDescent="0.2">
      <c r="A53" s="1">
        <v>47</v>
      </c>
      <c r="B53" s="1">
        <f ca="1">IF(A53=sheet4!$A$7,sheet4!$B$7,B53)</f>
        <v>2005.0479999999989</v>
      </c>
      <c r="C53" s="1">
        <f t="shared" ca="1" si="4"/>
        <v>1277.1791475409825</v>
      </c>
      <c r="D53" s="1">
        <f t="shared" ca="1" si="5"/>
        <v>0.48907469428286127</v>
      </c>
    </row>
    <row r="54" spans="1:4" x14ac:dyDescent="0.2">
      <c r="A54" s="1">
        <v>48</v>
      </c>
      <c r="B54" s="1">
        <f ca="1">IF(A54=sheet4!$A$7,sheet4!$B$7,B54)</f>
        <v>2005.0489999999988</v>
      </c>
      <c r="C54" s="1">
        <f t="shared" ca="1" si="4"/>
        <v>1277.1801475409825</v>
      </c>
      <c r="D54" s="1">
        <f t="shared" ca="1" si="5"/>
        <v>0.48907465598919692</v>
      </c>
    </row>
    <row r="55" spans="1:4" x14ac:dyDescent="0.2">
      <c r="A55" s="1">
        <v>49</v>
      </c>
      <c r="B55" s="1">
        <f ca="1">IF(A55=sheet4!$A$7,sheet4!$B$7,B55)</f>
        <v>2005.0499999999988</v>
      </c>
      <c r="C55" s="1">
        <f t="shared" ca="1" si="4"/>
        <v>1277.1811475409825</v>
      </c>
      <c r="D55" s="1">
        <f t="shared" ca="1" si="5"/>
        <v>0.48907461769556604</v>
      </c>
    </row>
    <row r="56" spans="1:4" x14ac:dyDescent="0.2">
      <c r="A56" s="1">
        <v>50</v>
      </c>
      <c r="B56" s="1">
        <f ca="1">IF(A56=sheet4!$A$7,sheet4!$B$7,B56)</f>
        <v>2005.0509999999988</v>
      </c>
      <c r="C56" s="1">
        <f t="shared" ca="1" si="4"/>
        <v>1277.1821475409824</v>
      </c>
      <c r="D56" s="1">
        <f t="shared" ca="1" si="5"/>
        <v>0.48907457940196697</v>
      </c>
    </row>
    <row r="57" spans="1:4" x14ac:dyDescent="0.2">
      <c r="A57" s="1">
        <v>51</v>
      </c>
      <c r="B57" s="1">
        <f ca="1">IF(A57=sheet4!$A$7,sheet4!$B$7,B57)</f>
        <v>2005.0519999999988</v>
      </c>
      <c r="C57" s="1">
        <f t="shared" ca="1" si="4"/>
        <v>1277.1831475409824</v>
      </c>
      <c r="D57" s="1">
        <f t="shared" ca="1" si="5"/>
        <v>0.48907454110840182</v>
      </c>
    </row>
    <row r="58" spans="1:4" x14ac:dyDescent="0.2">
      <c r="A58" s="1">
        <v>52</v>
      </c>
      <c r="B58" s="1">
        <f ca="1">IF(A58=sheet4!$A$7,sheet4!$B$7,B58)</f>
        <v>2005.0529999999987</v>
      </c>
      <c r="C58" s="1">
        <f t="shared" ca="1" si="4"/>
        <v>1277.1841475409824</v>
      </c>
      <c r="D58" s="1">
        <f t="shared" ca="1" si="5"/>
        <v>0.48907450281486942</v>
      </c>
    </row>
    <row r="59" spans="1:4" x14ac:dyDescent="0.2">
      <c r="A59" s="1">
        <v>53</v>
      </c>
      <c r="B59" s="1">
        <f ca="1">IF(A59=sheet4!$A$7,sheet4!$B$7,B59)</f>
        <v>2005.0539999999987</v>
      </c>
      <c r="C59" s="1">
        <f t="shared" ca="1" si="4"/>
        <v>1277.1851475409824</v>
      </c>
      <c r="D59" s="1">
        <f t="shared" ca="1" si="5"/>
        <v>0.48907446452137043</v>
      </c>
    </row>
    <row r="60" spans="1:4" x14ac:dyDescent="0.2">
      <c r="A60" s="1">
        <v>54</v>
      </c>
      <c r="B60" s="1">
        <f ca="1">IF(A60=sheet4!$A$7,sheet4!$B$7,B60)</f>
        <v>2005.0549999999987</v>
      </c>
      <c r="C60" s="1">
        <f t="shared" ca="1" si="4"/>
        <v>1277.1861475409823</v>
      </c>
      <c r="D60" s="1">
        <f t="shared" ca="1" si="5"/>
        <v>0.48907442622790331</v>
      </c>
    </row>
    <row r="61" spans="1:4" x14ac:dyDescent="0.2">
      <c r="A61" s="1">
        <v>55</v>
      </c>
      <c r="B61" s="1">
        <f ca="1">IF(A61=sheet4!$A$7,sheet4!$B$7,B61)</f>
        <v>2005.0559999999987</v>
      </c>
      <c r="C61" s="1">
        <f t="shared" ca="1" si="4"/>
        <v>1277.1871475409823</v>
      </c>
      <c r="D61" s="1">
        <f t="shared" ca="1" si="5"/>
        <v>0.48907438793447</v>
      </c>
    </row>
    <row r="62" spans="1:4" x14ac:dyDescent="0.2">
      <c r="A62" s="1">
        <v>56</v>
      </c>
      <c r="B62" s="1">
        <f ca="1">IF(A62=sheet4!$A$7,sheet4!$B$7,B62)</f>
        <v>2005.0569999999987</v>
      </c>
      <c r="C62" s="1">
        <f t="shared" ca="1" si="4"/>
        <v>1277.1881475409823</v>
      </c>
      <c r="D62" s="1">
        <f t="shared" ca="1" si="5"/>
        <v>0.48907434964106961</v>
      </c>
    </row>
    <row r="63" spans="1:4" x14ac:dyDescent="0.2">
      <c r="A63" s="1">
        <v>57</v>
      </c>
      <c r="B63" s="1">
        <f ca="1">IF(A63=sheet4!$A$7,sheet4!$B$7,B63)</f>
        <v>2005.0579999999986</v>
      </c>
      <c r="C63" s="1">
        <f t="shared" ca="1" si="4"/>
        <v>1277.1891475409823</v>
      </c>
      <c r="D63" s="1">
        <f t="shared" ca="1" si="5"/>
        <v>0.48907431134770202</v>
      </c>
    </row>
    <row r="64" spans="1:4" x14ac:dyDescent="0.2">
      <c r="A64" s="1">
        <v>58</v>
      </c>
      <c r="B64" s="1">
        <f ca="1">IF(A64=sheet4!$A$7,sheet4!$B$7,B64)</f>
        <v>2005.0589999999986</v>
      </c>
      <c r="C64" s="1">
        <f t="shared" ca="1" si="4"/>
        <v>1277.1901475409823</v>
      </c>
      <c r="D64" s="1">
        <f t="shared" ca="1" si="5"/>
        <v>0.48907427305436779</v>
      </c>
    </row>
    <row r="65" spans="1:4" x14ac:dyDescent="0.2">
      <c r="A65" s="1">
        <v>59</v>
      </c>
      <c r="B65" s="1">
        <f ca="1">IF(A65=sheet4!$A$7,sheet4!$B$7,B65)</f>
        <v>2005.0599999999986</v>
      </c>
      <c r="C65" s="1">
        <f t="shared" ca="1" si="4"/>
        <v>1277.1911475409822</v>
      </c>
      <c r="D65" s="1">
        <f t="shared" ca="1" si="5"/>
        <v>0.48907423476106598</v>
      </c>
    </row>
    <row r="66" spans="1:4" x14ac:dyDescent="0.2">
      <c r="A66" s="1">
        <v>60</v>
      </c>
      <c r="B66" s="1">
        <f ca="1">IF(A66=sheet4!$A$7,sheet4!$B$7,B66)</f>
        <v>2005.0609999999986</v>
      </c>
      <c r="C66" s="1">
        <f t="shared" ca="1" si="4"/>
        <v>1277.1921475409822</v>
      </c>
      <c r="D66" s="1">
        <f t="shared" ca="1" si="5"/>
        <v>0.48907419646779704</v>
      </c>
    </row>
    <row r="67" spans="1:4" x14ac:dyDescent="0.2">
      <c r="A67" s="1">
        <v>61</v>
      </c>
      <c r="B67" s="1">
        <f ca="1">IF(A67=sheet4!$A$7,sheet4!$B$7,B67)</f>
        <v>2005.0619999999985</v>
      </c>
      <c r="C67" s="1">
        <f t="shared" ca="1" si="4"/>
        <v>1277.1931475409822</v>
      </c>
      <c r="D67" s="1">
        <f t="shared" ca="1" si="5"/>
        <v>0.48907415817456185</v>
      </c>
    </row>
    <row r="68" spans="1:4" x14ac:dyDescent="0.2">
      <c r="A68" s="1">
        <v>62</v>
      </c>
      <c r="B68" s="1">
        <f ca="1">IF(A68=sheet4!$A$7,sheet4!$B$7,B68)</f>
        <v>2005.0629999999985</v>
      </c>
      <c r="C68" s="1">
        <f t="shared" ca="1" si="4"/>
        <v>1277.1941475409822</v>
      </c>
      <c r="D68" s="1">
        <f t="shared" ca="1" si="5"/>
        <v>0.48907411988135907</v>
      </c>
    </row>
    <row r="69" spans="1:4" x14ac:dyDescent="0.2">
      <c r="A69" s="1">
        <v>63</v>
      </c>
      <c r="B69" s="1">
        <f ca="1">IF(A69=sheet4!$A$7,sheet4!$B$7,B69)</f>
        <v>2005.0639999999985</v>
      </c>
      <c r="C69" s="1">
        <f t="shared" ca="1" si="4"/>
        <v>1277.1951475409821</v>
      </c>
      <c r="D69" s="1">
        <f t="shared" ca="1" si="5"/>
        <v>0.4890740815881896</v>
      </c>
    </row>
    <row r="70" spans="1:4" x14ac:dyDescent="0.2">
      <c r="A70" s="1">
        <v>64</v>
      </c>
      <c r="B70" s="1">
        <f ca="1">IF(A70=sheet4!$A$7,sheet4!$B$7,B70)</f>
        <v>2005.0649999999985</v>
      </c>
      <c r="C70" s="1">
        <f t="shared" ca="1" si="4"/>
        <v>1277.1961475409821</v>
      </c>
      <c r="D70" s="1">
        <f t="shared" ca="1" si="5"/>
        <v>0.48907404329505261</v>
      </c>
    </row>
    <row r="71" spans="1:4" x14ac:dyDescent="0.2">
      <c r="A71" s="1">
        <v>65</v>
      </c>
      <c r="B71" s="1">
        <f ca="1">IF(A71=sheet4!$A$7,sheet4!$B$7,B71)</f>
        <v>2005.0659999999984</v>
      </c>
      <c r="C71" s="1">
        <f t="shared" ca="1" si="4"/>
        <v>1277.1971475409821</v>
      </c>
      <c r="D71" s="1">
        <f t="shared" ca="1" si="5"/>
        <v>0.48907400500194897</v>
      </c>
    </row>
    <row r="72" spans="1:4" x14ac:dyDescent="0.2">
      <c r="A72" s="1">
        <v>66</v>
      </c>
      <c r="B72" s="1">
        <f ca="1">IF(A72=sheet4!$A$7,sheet4!$B$7,B72)</f>
        <v>2005.0669999999984</v>
      </c>
      <c r="C72" s="1">
        <f t="shared" ca="1" si="4"/>
        <v>1277.1981475409821</v>
      </c>
      <c r="D72" s="1">
        <f t="shared" ca="1" si="5"/>
        <v>0.48907396670887859</v>
      </c>
    </row>
    <row r="73" spans="1:4" x14ac:dyDescent="0.2">
      <c r="A73" s="1">
        <v>67</v>
      </c>
      <c r="B73" s="1">
        <f ca="1">IF(A73=sheet4!$A$7,sheet4!$B$7,B73)</f>
        <v>2005.0679999999984</v>
      </c>
      <c r="C73" s="1">
        <f t="shared" ca="1" si="4"/>
        <v>1277.199147540982</v>
      </c>
      <c r="D73" s="1">
        <f t="shared" ca="1" si="5"/>
        <v>0.48907392841584063</v>
      </c>
    </row>
    <row r="74" spans="1:4" x14ac:dyDescent="0.2">
      <c r="A74" s="1">
        <v>68</v>
      </c>
      <c r="B74" s="1">
        <f ca="1">IF(A74=sheet4!$A$7,sheet4!$B$7,B74)</f>
        <v>2005.0689999999984</v>
      </c>
      <c r="C74" s="1">
        <f t="shared" ca="1" si="4"/>
        <v>1277.200147540982</v>
      </c>
      <c r="D74" s="1">
        <f t="shared" ca="1" si="5"/>
        <v>0.48907389012283609</v>
      </c>
    </row>
    <row r="75" spans="1:4" x14ac:dyDescent="0.2">
      <c r="A75" s="1">
        <v>69</v>
      </c>
      <c r="B75" s="1">
        <f ca="1">IF(A75=sheet4!$A$7,sheet4!$B$7,B75)</f>
        <v>2005.0699999999983</v>
      </c>
      <c r="C75" s="1">
        <f t="shared" ca="1" si="4"/>
        <v>1277.201147540982</v>
      </c>
      <c r="D75" s="1">
        <f t="shared" ca="1" si="5"/>
        <v>0.48907385182986429</v>
      </c>
    </row>
    <row r="76" spans="1:4" x14ac:dyDescent="0.2">
      <c r="A76" s="1">
        <v>70</v>
      </c>
      <c r="B76" s="1">
        <f ca="1">IF(A76=sheet4!$A$7,sheet4!$B$7,B76)</f>
        <v>2005.0709999999983</v>
      </c>
      <c r="C76" s="1">
        <f t="shared" ca="1" si="4"/>
        <v>1277.202147540982</v>
      </c>
      <c r="D76" s="1">
        <f t="shared" ca="1" si="5"/>
        <v>0.48907381353692547</v>
      </c>
    </row>
    <row r="77" spans="1:4" x14ac:dyDescent="0.2">
      <c r="A77" s="1">
        <v>71</v>
      </c>
      <c r="B77" s="1">
        <f ca="1">IF(A77=sheet4!$A$7,sheet4!$B$7,B77)</f>
        <v>2005.0719999999983</v>
      </c>
      <c r="C77" s="1">
        <f t="shared" ca="1" si="4"/>
        <v>1277.2031475409819</v>
      </c>
      <c r="D77" s="1">
        <f t="shared" ca="1" si="5"/>
        <v>0.4890737752440199</v>
      </c>
    </row>
    <row r="78" spans="1:4" x14ac:dyDescent="0.2">
      <c r="A78" s="1">
        <v>72</v>
      </c>
      <c r="B78" s="1">
        <f ca="1">IF(A78=sheet4!$A$7,sheet4!$B$7,B78)</f>
        <v>2005.0729999999983</v>
      </c>
      <c r="C78" s="1">
        <f t="shared" ca="1" si="4"/>
        <v>1277.2041475409819</v>
      </c>
      <c r="D78" s="1">
        <f t="shared" ca="1" si="5"/>
        <v>0.4890737369511472</v>
      </c>
    </row>
    <row r="79" spans="1:4" x14ac:dyDescent="0.2">
      <c r="A79" s="1">
        <v>73</v>
      </c>
      <c r="B79" s="1">
        <f ca="1">IF(A79=sheet4!$A$7,sheet4!$B$7,B79)</f>
        <v>2005.0739999999983</v>
      </c>
      <c r="C79" s="1">
        <f t="shared" ca="1" si="4"/>
        <v>1277.2051475409819</v>
      </c>
      <c r="D79" s="1">
        <f t="shared" ca="1" si="5"/>
        <v>0.48907369865830697</v>
      </c>
    </row>
    <row r="80" spans="1:4" x14ac:dyDescent="0.2">
      <c r="A80" s="1">
        <v>74</v>
      </c>
      <c r="B80" s="1">
        <f ca="1">IF(A80=sheet4!$A$7,sheet4!$B$7,B80)</f>
        <v>2005.0749999999982</v>
      </c>
      <c r="C80" s="1">
        <f t="shared" ca="1" si="4"/>
        <v>1277.2061475409819</v>
      </c>
      <c r="D80" s="1">
        <f t="shared" ca="1" si="5"/>
        <v>0.4890736603655001</v>
      </c>
    </row>
    <row r="81" spans="1:4" x14ac:dyDescent="0.2">
      <c r="A81" s="1">
        <v>75</v>
      </c>
      <c r="B81" s="1">
        <f ca="1">IF(A81=sheet4!$A$7,sheet4!$B$7,B81)</f>
        <v>2005.0759999999982</v>
      </c>
      <c r="C81" s="1">
        <f t="shared" ca="1" si="4"/>
        <v>1277.2071475409819</v>
      </c>
      <c r="D81" s="1">
        <f t="shared" ca="1" si="5"/>
        <v>0.48907362207272614</v>
      </c>
    </row>
    <row r="82" spans="1:4" x14ac:dyDescent="0.2">
      <c r="A82" s="1">
        <v>76</v>
      </c>
      <c r="B82" s="1">
        <f ca="1">IF(A82=sheet4!$A$7,sheet4!$B$7,B82)</f>
        <v>2005.0769999999982</v>
      </c>
      <c r="C82" s="1">
        <f t="shared" ca="1" si="4"/>
        <v>1277.2081475409818</v>
      </c>
      <c r="D82" s="1">
        <f t="shared" ca="1" si="5"/>
        <v>0.48907358377998583</v>
      </c>
    </row>
    <row r="83" spans="1:4" x14ac:dyDescent="0.2">
      <c r="A83" s="1">
        <v>77</v>
      </c>
      <c r="B83" s="1">
        <f ca="1">IF(A83=sheet4!$A$7,sheet4!$B$7,B83)</f>
        <v>2005.0779999999982</v>
      </c>
      <c r="C83" s="1">
        <f t="shared" ca="1" si="4"/>
        <v>1277.2091475409818</v>
      </c>
      <c r="D83" s="1">
        <f t="shared" ca="1" si="5"/>
        <v>0.48907354548727755</v>
      </c>
    </row>
    <row r="84" spans="1:4" x14ac:dyDescent="0.2">
      <c r="A84" s="1">
        <v>78</v>
      </c>
      <c r="B84" s="1">
        <f ca="1">IF(A84=sheet4!$A$7,sheet4!$B$7,B84)</f>
        <v>2005.0789999999981</v>
      </c>
      <c r="C84" s="1">
        <f t="shared" ca="1" si="4"/>
        <v>1277.2101475409818</v>
      </c>
      <c r="D84" s="1">
        <f t="shared" ca="1" si="5"/>
        <v>0.48907350719460263</v>
      </c>
    </row>
    <row r="85" spans="1:4" x14ac:dyDescent="0.2">
      <c r="A85" s="1">
        <v>79</v>
      </c>
      <c r="B85" s="1">
        <f ca="1">IF(A85=sheet4!$A$7,sheet4!$B$7,B85)</f>
        <v>2005.0799999999981</v>
      </c>
      <c r="C85" s="1">
        <f t="shared" ca="1" si="4"/>
        <v>1277.2111475409818</v>
      </c>
      <c r="D85" s="1">
        <f t="shared" ca="1" si="5"/>
        <v>0.48907346890196057</v>
      </c>
    </row>
    <row r="86" spans="1:4" x14ac:dyDescent="0.2">
      <c r="A86" s="1">
        <v>80</v>
      </c>
      <c r="B86" s="1">
        <f ca="1">IF(A86=sheet4!$A$7,sheet4!$B$7,B86)</f>
        <v>2005.0809999999981</v>
      </c>
      <c r="C86" s="1">
        <f t="shared" ca="1" si="4"/>
        <v>1277.2121475409817</v>
      </c>
      <c r="D86" s="1">
        <f t="shared" ca="1" si="5"/>
        <v>0.48907343060935182</v>
      </c>
    </row>
    <row r="87" spans="1:4" x14ac:dyDescent="0.2">
      <c r="A87" s="1">
        <v>81</v>
      </c>
      <c r="B87" s="1">
        <f ca="1">IF(A87=sheet4!$A$7,sheet4!$B$7,B87)</f>
        <v>2005.0819999999981</v>
      </c>
      <c r="C87" s="1">
        <f t="shared" ca="1" si="4"/>
        <v>1277.2131475409817</v>
      </c>
      <c r="D87" s="1">
        <f t="shared" ca="1" si="5"/>
        <v>0.4890733923167756</v>
      </c>
    </row>
    <row r="88" spans="1:4" x14ac:dyDescent="0.2">
      <c r="A88" s="1">
        <v>82</v>
      </c>
      <c r="B88" s="1">
        <f ca="1">IF(A88=sheet4!$A$7,sheet4!$B$7,B88)</f>
        <v>2005.082999999998</v>
      </c>
      <c r="C88" s="1">
        <f t="shared" ca="1" si="4"/>
        <v>1277.2141475409817</v>
      </c>
      <c r="D88" s="1">
        <f t="shared" ca="1" si="5"/>
        <v>0.48907335402423263</v>
      </c>
    </row>
    <row r="89" spans="1:4" x14ac:dyDescent="0.2">
      <c r="A89" s="1">
        <v>83</v>
      </c>
      <c r="B89" s="1">
        <f ca="1">IF(A89=sheet4!$A$7,sheet4!$B$7,B89)</f>
        <v>2005.083999999998</v>
      </c>
      <c r="C89" s="1">
        <f t="shared" ca="1" si="4"/>
        <v>1277.2151475409817</v>
      </c>
      <c r="D89" s="1">
        <f t="shared" ca="1" si="5"/>
        <v>0.48907331573172291</v>
      </c>
    </row>
    <row r="90" spans="1:4" x14ac:dyDescent="0.2">
      <c r="A90" s="1">
        <v>84</v>
      </c>
      <c r="B90" s="1">
        <f ca="1">IF(A90=sheet4!$A$7,sheet4!$B$7,B90)</f>
        <v>2005.084999999998</v>
      </c>
      <c r="C90" s="1">
        <f t="shared" ca="1" si="4"/>
        <v>1277.2161475409816</v>
      </c>
      <c r="D90" s="1">
        <f t="shared" ca="1" si="5"/>
        <v>0.48907327743924578</v>
      </c>
    </row>
    <row r="91" spans="1:4" x14ac:dyDescent="0.2">
      <c r="A91" s="1">
        <v>85</v>
      </c>
      <c r="B91" s="1">
        <f ca="1">IF(A91=sheet4!$A$7,sheet4!$B$7,B91)</f>
        <v>2005.085999999998</v>
      </c>
      <c r="C91" s="1">
        <f t="shared" ca="1" si="4"/>
        <v>1277.2171475409816</v>
      </c>
      <c r="D91" s="1">
        <f t="shared" ca="1" si="5"/>
        <v>0.4890732391468019</v>
      </c>
    </row>
    <row r="92" spans="1:4" x14ac:dyDescent="0.2">
      <c r="A92" s="1">
        <v>86</v>
      </c>
      <c r="B92" s="1">
        <f ca="1">IF(A92=sheet4!$A$7,sheet4!$B$7,B92)</f>
        <v>2005.0869999999979</v>
      </c>
      <c r="C92" s="1">
        <f t="shared" ca="1" si="4"/>
        <v>1277.2181475409816</v>
      </c>
      <c r="D92" s="1">
        <f t="shared" ca="1" si="5"/>
        <v>0.48907320085439043</v>
      </c>
    </row>
    <row r="93" spans="1:4" x14ac:dyDescent="0.2">
      <c r="A93" s="1">
        <v>87</v>
      </c>
      <c r="B93" s="1">
        <f ca="1">IF(A93=sheet4!$A$7,sheet4!$B$7,B93)</f>
        <v>2005.0879999999979</v>
      </c>
      <c r="C93" s="1">
        <f t="shared" ca="1" si="4"/>
        <v>1277.2191475409816</v>
      </c>
      <c r="D93" s="1">
        <f t="shared" ca="1" si="5"/>
        <v>0.48907316256201239</v>
      </c>
    </row>
    <row r="94" spans="1:4" x14ac:dyDescent="0.2">
      <c r="A94" s="1">
        <v>88</v>
      </c>
      <c r="B94" s="1">
        <f ca="1">IF(A94=sheet4!$A$7,sheet4!$B$7,B94)</f>
        <v>2005.0889999999979</v>
      </c>
      <c r="C94" s="1">
        <f t="shared" ca="1" si="4"/>
        <v>1277.2201475409815</v>
      </c>
      <c r="D94" s="1">
        <f t="shared" ca="1" si="5"/>
        <v>0.4890731242696672</v>
      </c>
    </row>
    <row r="95" spans="1:4" x14ac:dyDescent="0.2">
      <c r="A95" s="1">
        <v>89</v>
      </c>
      <c r="B95" s="1">
        <f ca="1">IF(A95=sheet4!$A$7,sheet4!$B$7,B95)</f>
        <v>2005.0899999999979</v>
      </c>
      <c r="C95" s="1">
        <f t="shared" ca="1" si="4"/>
        <v>1277.2211475409815</v>
      </c>
      <c r="D95" s="1">
        <f t="shared" ca="1" si="5"/>
        <v>0.48907308597735477</v>
      </c>
    </row>
    <row r="96" spans="1:4" x14ac:dyDescent="0.2">
      <c r="A96" s="1">
        <v>90</v>
      </c>
      <c r="B96" s="1">
        <f ca="1">IF(A96=sheet4!$A$7,sheet4!$B$7,B96)</f>
        <v>2005.0909999999978</v>
      </c>
      <c r="C96" s="1">
        <f t="shared" ca="1" si="4"/>
        <v>1277.2221475409815</v>
      </c>
      <c r="D96" s="1">
        <f t="shared" ca="1" si="5"/>
        <v>0.48907304768507581</v>
      </c>
    </row>
    <row r="97" spans="1:4" x14ac:dyDescent="0.2">
      <c r="A97" s="1">
        <v>91</v>
      </c>
      <c r="B97" s="1">
        <f ca="1">IF(A97=sheet4!$A$7,sheet4!$B$7,B97)</f>
        <v>2005.0919999999978</v>
      </c>
      <c r="C97" s="1">
        <f t="shared" ca="1" si="4"/>
        <v>1277.2231475409815</v>
      </c>
      <c r="D97" s="1">
        <f t="shared" ca="1" si="5"/>
        <v>0.48907300939282972</v>
      </c>
    </row>
    <row r="98" spans="1:4" x14ac:dyDescent="0.2">
      <c r="A98" s="1">
        <v>92</v>
      </c>
      <c r="B98" s="1">
        <f ca="1">IF(A98=sheet4!$A$7,sheet4!$B$7,B98)</f>
        <v>2005.0929999999978</v>
      </c>
      <c r="C98" s="1">
        <f t="shared" ca="1" si="4"/>
        <v>1277.2241475409814</v>
      </c>
      <c r="D98" s="1">
        <f t="shared" ca="1" si="5"/>
        <v>0.48907297110061648</v>
      </c>
    </row>
    <row r="99" spans="1:4" x14ac:dyDescent="0.2">
      <c r="A99" s="1">
        <v>93</v>
      </c>
      <c r="B99" s="1">
        <f ca="1">IF(A99=sheet4!$A$7,sheet4!$B$7,B99)</f>
        <v>2005.0939999999978</v>
      </c>
      <c r="C99" s="1">
        <f t="shared" ca="1" si="4"/>
        <v>1277.2251475409814</v>
      </c>
      <c r="D99" s="1">
        <f t="shared" ca="1" si="5"/>
        <v>0.48907293280843661</v>
      </c>
    </row>
    <row r="100" spans="1:4" x14ac:dyDescent="0.2">
      <c r="A100" s="1">
        <v>94</v>
      </c>
      <c r="B100" s="1">
        <f ca="1">IF(A100=sheet4!$A$7,sheet4!$B$7,B100)</f>
        <v>2005.0949999999978</v>
      </c>
      <c r="C100" s="1">
        <f t="shared" ca="1" si="4"/>
        <v>1277.2261475409814</v>
      </c>
      <c r="D100" s="1">
        <f t="shared" ca="1" si="5"/>
        <v>0.48907289451628916</v>
      </c>
    </row>
    <row r="101" spans="1:4" x14ac:dyDescent="0.2">
      <c r="A101" s="1">
        <v>95</v>
      </c>
      <c r="B101" s="1">
        <f ca="1">IF(A101=sheet4!$A$7,sheet4!$B$7,B101)</f>
        <v>2005.0959999999977</v>
      </c>
      <c r="C101" s="1">
        <f t="shared" ca="1" si="4"/>
        <v>1277.2271475409814</v>
      </c>
      <c r="D101" s="1">
        <f t="shared" ca="1" si="5"/>
        <v>0.48907285622417507</v>
      </c>
    </row>
    <row r="102" spans="1:4" x14ac:dyDescent="0.2">
      <c r="A102" s="1">
        <v>96</v>
      </c>
      <c r="B102" s="1">
        <f ca="1">IF(A102=sheet4!$A$7,sheet4!$B$7,B102)</f>
        <v>2005.0969999999977</v>
      </c>
      <c r="C102" s="1">
        <f t="shared" ca="1" si="4"/>
        <v>1277.2281475409814</v>
      </c>
      <c r="D102" s="1">
        <f t="shared" ca="1" si="5"/>
        <v>0.48907281793209334</v>
      </c>
    </row>
    <row r="103" spans="1:4" x14ac:dyDescent="0.2">
      <c r="A103" s="1">
        <v>97</v>
      </c>
      <c r="B103" s="1">
        <f ca="1">IF(A103=sheet4!$A$7,sheet4!$B$7,B103)</f>
        <v>2005.0979999999977</v>
      </c>
      <c r="C103" s="1">
        <f t="shared" ca="1" si="4"/>
        <v>1277.2291475409813</v>
      </c>
      <c r="D103" s="1">
        <f t="shared" ca="1" si="5"/>
        <v>0.48907277964004509</v>
      </c>
    </row>
    <row r="104" spans="1:4" x14ac:dyDescent="0.2">
      <c r="A104" s="1">
        <v>98</v>
      </c>
      <c r="B104" s="1">
        <f ca="1">IF(A104=sheet4!$A$7,sheet4!$B$7,B104)</f>
        <v>2005.0989999999977</v>
      </c>
      <c r="C104" s="1">
        <f t="shared" ca="1" si="4"/>
        <v>1277.2301475409813</v>
      </c>
      <c r="D104" s="1">
        <f t="shared" ca="1" si="5"/>
        <v>0.48907274134803008</v>
      </c>
    </row>
    <row r="105" spans="1:4" x14ac:dyDescent="0.2">
      <c r="A105" s="1">
        <v>99</v>
      </c>
      <c r="B105" s="1">
        <f ca="1">IF(A105=sheet4!$A$7,sheet4!$B$7,B105)</f>
        <v>2005.0999999999976</v>
      </c>
      <c r="C105" s="1">
        <f t="shared" ca="1" si="4"/>
        <v>1277.2311475409813</v>
      </c>
      <c r="D105" s="1">
        <f t="shared" ca="1" si="5"/>
        <v>0.48907270305604711</v>
      </c>
    </row>
    <row r="106" spans="1:4" x14ac:dyDescent="0.2">
      <c r="A106" s="1">
        <v>100</v>
      </c>
      <c r="B106" s="1">
        <f ca="1">IF(A106=sheet4!$A$7,sheet4!$B$7,B106)</f>
        <v>2005.1009999999976</v>
      </c>
      <c r="C106" s="1">
        <f t="shared" ca="1" si="4"/>
        <v>1277.2321475409813</v>
      </c>
      <c r="D106" s="1">
        <f t="shared" ca="1" si="5"/>
        <v>0.48907266476409789</v>
      </c>
    </row>
  </sheetData>
  <mergeCells count="3">
    <mergeCell ref="F36:J42"/>
    <mergeCell ref="H28:L34"/>
    <mergeCell ref="H3:K5"/>
  </mergeCells>
  <phoneticPr fontId="2" type="noConversion"/>
  <conditionalFormatting sqref="H7:I27">
    <cfRule type="expression" dxfId="6" priority="2" stopIfTrue="1">
      <formula>$I7=$J$7</formula>
    </cfRule>
  </conditionalFormatting>
  <conditionalFormatting sqref="K7:K27">
    <cfRule type="expression" dxfId="5" priority="1">
      <formula>$J$7=$I7</formula>
    </cfRule>
  </conditionalFormatting>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4" r:id="rId4" name="List Box 6">
              <controlPr defaultSize="0" autoLine="0" autoPict="0">
                <anchor moveWithCells="1">
                  <from>
                    <xdr:col>4</xdr:col>
                    <xdr:colOff>28575</xdr:colOff>
                    <xdr:row>8</xdr:row>
                    <xdr:rowOff>0</xdr:rowOff>
                  </from>
                  <to>
                    <xdr:col>5</xdr:col>
                    <xdr:colOff>0</xdr:colOff>
                    <xdr:row>24</xdr:row>
                    <xdr:rowOff>57150</xdr:rowOff>
                  </to>
                </anchor>
              </controlPr>
            </control>
          </mc:Choice>
        </mc:AlternateContent>
        <mc:AlternateContent xmlns:mc="http://schemas.openxmlformats.org/markup-compatibility/2006">
          <mc:Choice Requires="x14">
            <control shapeId="2055" r:id="rId5" name="Button 7">
              <controlPr defaultSize="0" print="0" autoFill="0" autoPict="0" macro="[0]!ScanningOfSigmaValues_Click">
                <anchor moveWithCells="1">
                  <from>
                    <xdr:col>5</xdr:col>
                    <xdr:colOff>304800</xdr:colOff>
                    <xdr:row>11</xdr:row>
                    <xdr:rowOff>142875</xdr:rowOff>
                  </from>
                  <to>
                    <xdr:col>6</xdr:col>
                    <xdr:colOff>590550</xdr:colOff>
                    <xdr:row>20</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Worksheet____4"/>
  <dimension ref="A1:U75"/>
  <sheetViews>
    <sheetView topLeftCell="A39" zoomScaleNormal="100" workbookViewId="0">
      <selection activeCell="E56" sqref="E56"/>
    </sheetView>
  </sheetViews>
  <sheetFormatPr defaultRowHeight="12.75" x14ac:dyDescent="0.2"/>
  <cols>
    <col min="1" max="1" width="8.140625" customWidth="1"/>
    <col min="2" max="2" width="13.5703125" customWidth="1"/>
    <col min="3" max="3" width="12" bestFit="1" customWidth="1"/>
    <col min="4" max="4" width="11.85546875" bestFit="1" customWidth="1"/>
    <col min="5" max="5" width="12.42578125" bestFit="1" customWidth="1"/>
    <col min="6" max="6" width="16.5703125" customWidth="1"/>
    <col min="7" max="7" width="12" bestFit="1" customWidth="1"/>
    <col min="8" max="8" width="11" bestFit="1" customWidth="1"/>
    <col min="9" max="9" width="14.5703125" customWidth="1"/>
    <col min="10" max="10" width="12" bestFit="1" customWidth="1"/>
    <col min="11" max="11" width="10.5703125" bestFit="1" customWidth="1"/>
    <col min="13" max="13" width="9.28515625" customWidth="1"/>
    <col min="15" max="15" width="11.5703125" bestFit="1" customWidth="1"/>
  </cols>
  <sheetData>
    <row r="1" spans="1:13" ht="18.75" x14ac:dyDescent="0.3">
      <c r="A1" s="2" t="s">
        <v>14</v>
      </c>
    </row>
    <row r="2" spans="1:13" x14ac:dyDescent="0.2">
      <c r="A2" t="s">
        <v>10</v>
      </c>
    </row>
    <row r="3" spans="1:13" ht="13.5" thickBot="1" x14ac:dyDescent="0.25">
      <c r="A3" t="s">
        <v>11</v>
      </c>
    </row>
    <row r="4" spans="1:13" ht="38.25" x14ac:dyDescent="0.2">
      <c r="A4" s="86" t="s">
        <v>68</v>
      </c>
      <c r="G4" t="s">
        <v>21</v>
      </c>
      <c r="I4" s="7" t="s">
        <v>32</v>
      </c>
      <c r="J4" s="8" t="s">
        <v>20</v>
      </c>
      <c r="L4" t="s">
        <v>114</v>
      </c>
    </row>
    <row r="5" spans="1:13" ht="18" customHeight="1" thickBot="1" x14ac:dyDescent="0.3">
      <c r="A5" s="6" t="s">
        <v>16</v>
      </c>
      <c r="G5" t="s">
        <v>22</v>
      </c>
      <c r="H5" s="13">
        <v>2</v>
      </c>
      <c r="I5" s="14">
        <f>INDEX(J12:J22,K5)</f>
        <v>1E-3</v>
      </c>
      <c r="J5" s="15">
        <v>2005</v>
      </c>
      <c r="K5">
        <v>5</v>
      </c>
    </row>
    <row r="6" spans="1:13" ht="36.75" customHeight="1" thickBot="1" x14ac:dyDescent="0.25">
      <c r="A6" s="9" t="s">
        <v>23</v>
      </c>
      <c r="B6" s="10" t="s">
        <v>1</v>
      </c>
      <c r="C6" s="10" t="s">
        <v>2</v>
      </c>
      <c r="D6" s="10" t="s">
        <v>3</v>
      </c>
      <c r="E6" s="74" t="s">
        <v>19</v>
      </c>
      <c r="F6" s="10" t="s">
        <v>18</v>
      </c>
      <c r="G6" s="10" t="s">
        <v>17</v>
      </c>
      <c r="H6" s="74" t="s">
        <v>8</v>
      </c>
      <c r="I6" s="74" t="s">
        <v>6</v>
      </c>
      <c r="J6" s="74" t="s">
        <v>9</v>
      </c>
      <c r="K6" s="11" t="s">
        <v>12</v>
      </c>
      <c r="M6" s="148" t="s">
        <v>114</v>
      </c>
    </row>
    <row r="7" spans="1:13" ht="41.25" customHeight="1" thickBot="1" x14ac:dyDescent="0.25">
      <c r="A7" s="54">
        <f ca="1">IF(H5=1,0,A7+1)</f>
        <v>2978455</v>
      </c>
      <c r="B7" s="55">
        <f ca="1">IF(A7=0,J5+INDEX(J12:J22,K5),B7+INDEX(J12:J22,K5))</f>
        <v>4950.6890333569918</v>
      </c>
      <c r="C7" s="50">
        <f ca="1">sheet1!B8/(B7+B7*sheet1!C8)^(2*sheet1!E8)</f>
        <v>1.8322038126473521E+30</v>
      </c>
      <c r="D7" s="50">
        <f ca="1">C7*(B7-sheet1!D8)</f>
        <v>6.0475350312799836E+33</v>
      </c>
      <c r="E7" s="50">
        <f ca="1">C7*sheet1!D8</f>
        <v>3.023136290868131E+33</v>
      </c>
      <c r="F7" s="51" t="str">
        <f ca="1">IF(A7=0,"Исходное состояние",
         IF($D$7&gt;0,
                IF($D$7&lt;$I$7,"Solution Is Found","Продолжайте поиск, щелкая по кнопке &lt;F9&gt;"),
         "Продолжайте поиск")
  )</f>
        <v>Solution Is Found</v>
      </c>
      <c r="G7" s="52">
        <f ca="1">IF($A$7=0,0,
          IF($D$7&gt;0,
                 IF($D$7&lt;$I$7,G7,B7),
          B7)
  )</f>
        <v>2032.9909999993381</v>
      </c>
      <c r="H7" s="53">
        <f ca="1">IF($A$7=0,0,IF($D$7&gt;0,IF($D$7&lt;$I$7,H7,C7),C7))</f>
        <v>2.0642074787728322E+32</v>
      </c>
      <c r="I7" s="53">
        <f ca="1">IF($A$7=0,0,IF($D$7&gt;0,IF($D$7&lt;$I$7,I7,D7),D7))</f>
        <v>7.9057288650131948E+34</v>
      </c>
      <c r="J7" s="53">
        <f ca="1">IF($A$7=0,0,IF($D$7&gt;0,IF($D$7&lt;$I$7,J7,E7),E7))</f>
        <v>3.4059423399751735E+35</v>
      </c>
      <c r="K7" s="87">
        <f ca="1">IF($A$7=0,0,IF($D$7&gt;0,IF($D$7&lt;$I$7,K7,A7),A7))</f>
        <v>27990</v>
      </c>
      <c r="L7" t="s">
        <v>114</v>
      </c>
    </row>
    <row r="8" spans="1:13" x14ac:dyDescent="0.2">
      <c r="K8" s="93">
        <v>20</v>
      </c>
    </row>
    <row r="9" spans="1:13" x14ac:dyDescent="0.2">
      <c r="A9" s="94">
        <v>1</v>
      </c>
      <c r="B9" s="94">
        <v>2</v>
      </c>
      <c r="C9" s="94">
        <v>3</v>
      </c>
      <c r="D9" s="94">
        <v>4</v>
      </c>
      <c r="E9" s="94">
        <v>5</v>
      </c>
      <c r="F9" s="94">
        <v>6</v>
      </c>
      <c r="G9" s="94">
        <v>7</v>
      </c>
      <c r="H9" s="94">
        <v>8</v>
      </c>
      <c r="I9" s="94">
        <v>9</v>
      </c>
      <c r="J9" s="94">
        <v>10</v>
      </c>
      <c r="K9" s="94">
        <v>11</v>
      </c>
    </row>
    <row r="10" spans="1:13" ht="13.5" thickBot="1" x14ac:dyDescent="0.25">
      <c r="A10" s="2" t="s">
        <v>46</v>
      </c>
    </row>
    <row r="11" spans="1:13" ht="34.5" thickBot="1" x14ac:dyDescent="0.25">
      <c r="A11" s="62" t="s">
        <v>4</v>
      </c>
      <c r="B11" s="63" t="s">
        <v>5</v>
      </c>
      <c r="C11" s="63" t="s">
        <v>8</v>
      </c>
      <c r="D11" s="63" t="s">
        <v>6</v>
      </c>
      <c r="E11" s="63" t="s">
        <v>9</v>
      </c>
      <c r="F11" s="63" t="s">
        <v>12</v>
      </c>
      <c r="G11" s="63" t="s">
        <v>13</v>
      </c>
      <c r="H11" s="63" t="s">
        <v>7</v>
      </c>
      <c r="I11" s="63" t="s">
        <v>47</v>
      </c>
      <c r="J11" s="89" t="s">
        <v>15</v>
      </c>
      <c r="K11" s="135" t="s">
        <v>66</v>
      </c>
      <c r="L11" s="135"/>
      <c r="M11" s="135"/>
    </row>
    <row r="12" spans="1:13" x14ac:dyDescent="0.2">
      <c r="A12" s="17">
        <v>1</v>
      </c>
      <c r="B12" s="18">
        <v>2035</v>
      </c>
      <c r="C12" s="18">
        <v>2.0534132253372754E+32</v>
      </c>
      <c r="D12" s="18">
        <v>7.9056409175485098E+34</v>
      </c>
      <c r="E12" s="18">
        <v>3.3881318218065047E+35</v>
      </c>
      <c r="F12" s="18">
        <v>6</v>
      </c>
      <c r="G12" s="27">
        <v>10</v>
      </c>
      <c r="H12" s="145">
        <v>1965</v>
      </c>
      <c r="I12" s="45">
        <f>ABS(H12-B12)</f>
        <v>70</v>
      </c>
      <c r="J12" s="90">
        <f>G12</f>
        <v>10</v>
      </c>
      <c r="K12" s="134" t="s">
        <v>78</v>
      </c>
      <c r="L12" s="134"/>
      <c r="M12" s="134"/>
    </row>
    <row r="13" spans="1:13" x14ac:dyDescent="0.2">
      <c r="A13" s="20">
        <v>2</v>
      </c>
      <c r="B13" s="12">
        <v>2033</v>
      </c>
      <c r="C13" s="12">
        <v>2.0641589720821761E+32</v>
      </c>
      <c r="D13" s="12">
        <v>7.9057288630747344E+34</v>
      </c>
      <c r="E13" s="12">
        <v>3.4058623039355907E+35</v>
      </c>
      <c r="F13" s="12">
        <v>67</v>
      </c>
      <c r="G13" s="146">
        <v>1</v>
      </c>
      <c r="H13" s="12">
        <v>1965</v>
      </c>
      <c r="I13" s="147">
        <f>ABS(H13-B13)</f>
        <v>68</v>
      </c>
      <c r="J13" s="91">
        <f>G13</f>
        <v>1</v>
      </c>
      <c r="K13" s="134"/>
      <c r="L13" s="134"/>
      <c r="M13" s="134"/>
    </row>
    <row r="14" spans="1:13" x14ac:dyDescent="0.2">
      <c r="A14" s="20">
        <v>3</v>
      </c>
      <c r="B14" s="12">
        <v>2032.9999999999382</v>
      </c>
      <c r="C14" s="12">
        <v>2.0641589720825133E+32</v>
      </c>
      <c r="D14" s="12">
        <v>7.9057288630747491E+34</v>
      </c>
      <c r="E14" s="12">
        <v>3.405862303936147E+35</v>
      </c>
      <c r="F14" s="12">
        <v>679</v>
      </c>
      <c r="G14" s="146">
        <v>0.1</v>
      </c>
      <c r="H14" s="12">
        <v>1965</v>
      </c>
      <c r="I14" s="147">
        <f>ABS(H14-B14)</f>
        <v>67.999999999938154</v>
      </c>
      <c r="J14" s="91">
        <f>G14</f>
        <v>0.1</v>
      </c>
      <c r="K14" s="134"/>
      <c r="L14" s="134"/>
      <c r="M14" s="134"/>
    </row>
    <row r="15" spans="1:13" x14ac:dyDescent="0.2">
      <c r="A15" s="20">
        <v>4</v>
      </c>
      <c r="B15" s="12">
        <v>2032.9899999999382</v>
      </c>
      <c r="C15" s="12">
        <v>2.0642128684851132E+32</v>
      </c>
      <c r="D15" s="12">
        <v>7.9057288650098587E+34</v>
      </c>
      <c r="E15" s="12">
        <v>3.4059512330004367E+35</v>
      </c>
      <c r="F15" s="12">
        <v>6798</v>
      </c>
      <c r="G15" s="146">
        <v>0.01</v>
      </c>
      <c r="H15" s="12">
        <v>1965</v>
      </c>
      <c r="I15" s="147">
        <f>ABS(H15-B15)</f>
        <v>67.989999999938163</v>
      </c>
      <c r="J15" s="91">
        <f>G15</f>
        <v>0.01</v>
      </c>
      <c r="K15" s="134"/>
      <c r="L15" s="134"/>
      <c r="M15" s="134"/>
    </row>
    <row r="16" spans="1:13" x14ac:dyDescent="0.2">
      <c r="A16" s="20">
        <v>5</v>
      </c>
      <c r="B16" s="12">
        <v>2032.9909999983922</v>
      </c>
      <c r="C16" s="12">
        <v>2.0642074787779361E+32</v>
      </c>
      <c r="D16" s="12">
        <v>7.9057288650132169E+34</v>
      </c>
      <c r="E16" s="12">
        <v>3.4059423399835948E+35</v>
      </c>
      <c r="F16" s="12">
        <v>67990</v>
      </c>
      <c r="G16" s="146">
        <v>1E-3</v>
      </c>
      <c r="H16" s="12">
        <v>1965</v>
      </c>
      <c r="I16" s="147">
        <f>ABS(H16-B16)</f>
        <v>67.990999998392226</v>
      </c>
      <c r="J16" s="21">
        <f>G16</f>
        <v>1E-3</v>
      </c>
      <c r="K16" s="13"/>
    </row>
    <row r="17" spans="1:21" ht="12.75" customHeight="1" x14ac:dyDescent="0.2">
      <c r="A17" s="20">
        <v>6</v>
      </c>
      <c r="B17" s="12"/>
      <c r="C17" s="12"/>
      <c r="D17" s="12"/>
      <c r="E17" s="12"/>
      <c r="F17" s="12"/>
      <c r="G17" s="146">
        <v>1E-4</v>
      </c>
      <c r="H17" s="12">
        <v>1965</v>
      </c>
      <c r="I17" s="147">
        <f>ABS(H17-B17)</f>
        <v>1965</v>
      </c>
      <c r="J17" s="91">
        <f>G17</f>
        <v>1E-4</v>
      </c>
      <c r="K17" s="137" t="s">
        <v>67</v>
      </c>
      <c r="L17" s="137"/>
      <c r="M17" s="137"/>
      <c r="N17" s="88"/>
      <c r="O17" s="88"/>
    </row>
    <row r="18" spans="1:21" x14ac:dyDescent="0.2">
      <c r="A18" s="20">
        <v>7</v>
      </c>
      <c r="B18" s="12"/>
      <c r="C18" s="12"/>
      <c r="D18" s="12"/>
      <c r="E18" s="12"/>
      <c r="F18" s="12"/>
      <c r="G18" s="146">
        <v>1.0000000000000001E-5</v>
      </c>
      <c r="H18" s="12">
        <v>1965</v>
      </c>
      <c r="I18" s="147">
        <f>ABS(H18-B18)</f>
        <v>1965</v>
      </c>
      <c r="J18" s="91">
        <f>G18</f>
        <v>1.0000000000000001E-5</v>
      </c>
      <c r="K18" s="136" t="s">
        <v>79</v>
      </c>
      <c r="L18" s="136"/>
      <c r="M18" s="136"/>
      <c r="N18" s="88"/>
      <c r="O18" s="88"/>
    </row>
    <row r="19" spans="1:21" x14ac:dyDescent="0.2">
      <c r="A19" s="20">
        <v>8</v>
      </c>
      <c r="B19" s="12"/>
      <c r="C19" s="12"/>
      <c r="D19" s="12"/>
      <c r="E19" s="12"/>
      <c r="F19" s="12"/>
      <c r="G19" s="146">
        <v>9.9999999999999995E-7</v>
      </c>
      <c r="H19" s="12">
        <v>1965</v>
      </c>
      <c r="I19" s="147">
        <f>ABS(H19-B19)</f>
        <v>1965</v>
      </c>
      <c r="J19" s="91">
        <f>G19</f>
        <v>9.9999999999999995E-7</v>
      </c>
      <c r="K19" s="136"/>
      <c r="L19" s="136"/>
      <c r="M19" s="136"/>
      <c r="N19" s="88"/>
      <c r="O19" s="88"/>
    </row>
    <row r="20" spans="1:21" x14ac:dyDescent="0.2">
      <c r="A20" s="20">
        <v>9</v>
      </c>
      <c r="B20" s="12"/>
      <c r="C20" s="12"/>
      <c r="D20" s="12"/>
      <c r="E20" s="12"/>
      <c r="F20" s="12"/>
      <c r="G20" s="146">
        <v>9.9999999999999995E-8</v>
      </c>
      <c r="H20" s="12">
        <v>1965</v>
      </c>
      <c r="I20" s="147">
        <f>ABS(H20-B20)</f>
        <v>1965</v>
      </c>
      <c r="J20" s="91">
        <f>G20</f>
        <v>9.9999999999999995E-8</v>
      </c>
      <c r="K20" s="136"/>
      <c r="L20" s="136"/>
      <c r="M20" s="136"/>
      <c r="N20" s="88"/>
      <c r="O20" s="88"/>
    </row>
    <row r="21" spans="1:21" x14ac:dyDescent="0.2">
      <c r="A21" s="20">
        <v>10</v>
      </c>
      <c r="B21" s="12"/>
      <c r="C21" s="12"/>
      <c r="D21" s="12"/>
      <c r="E21" s="12"/>
      <c r="F21" s="12"/>
      <c r="G21" s="146">
        <v>1E-8</v>
      </c>
      <c r="H21" s="12">
        <v>1965</v>
      </c>
      <c r="I21" s="147">
        <f>ABS(H21-B21)</f>
        <v>1965</v>
      </c>
      <c r="J21" s="91">
        <f>G21</f>
        <v>1E-8</v>
      </c>
      <c r="K21" s="136"/>
      <c r="L21" s="136"/>
      <c r="M21" s="136"/>
      <c r="N21" s="88"/>
    </row>
    <row r="22" spans="1:21" ht="13.5" thickBot="1" x14ac:dyDescent="0.25">
      <c r="A22" s="14">
        <v>11</v>
      </c>
      <c r="B22" s="56"/>
      <c r="C22" s="56"/>
      <c r="D22" s="56"/>
      <c r="E22" s="56"/>
      <c r="F22" s="56"/>
      <c r="G22" s="61">
        <v>1.0000000000000001E-18</v>
      </c>
      <c r="H22" s="16">
        <v>1965</v>
      </c>
      <c r="I22" s="57">
        <f>ABS(H22-B22)</f>
        <v>1965</v>
      </c>
      <c r="J22" s="92">
        <f>G22</f>
        <v>1.0000000000000001E-18</v>
      </c>
      <c r="K22" s="136"/>
      <c r="L22" s="136"/>
      <c r="M22" s="136"/>
    </row>
    <row r="23" spans="1:21" x14ac:dyDescent="0.2">
      <c r="A23" s="17">
        <v>12</v>
      </c>
      <c r="B23" s="18">
        <v>2035</v>
      </c>
      <c r="C23" s="18">
        <v>2.0534132253372754E+32</v>
      </c>
      <c r="D23" s="18">
        <v>7.9056409175485098E+34</v>
      </c>
      <c r="E23" s="18">
        <v>3.3881318218065047E+35</v>
      </c>
      <c r="F23" s="18">
        <v>5</v>
      </c>
      <c r="G23" s="27">
        <v>10</v>
      </c>
      <c r="H23" s="145">
        <v>1975</v>
      </c>
      <c r="I23" s="45">
        <f>ABS(H23-B23)</f>
        <v>60</v>
      </c>
      <c r="J23" s="19">
        <v>10</v>
      </c>
      <c r="K23" s="13"/>
    </row>
    <row r="24" spans="1:21" ht="12.75" customHeight="1" x14ac:dyDescent="0.2">
      <c r="A24" s="20">
        <v>13</v>
      </c>
      <c r="B24" s="12">
        <v>2033</v>
      </c>
      <c r="C24" s="12">
        <v>2.0641589720821761E+32</v>
      </c>
      <c r="D24" s="12">
        <v>7.9057288630747344E+34</v>
      </c>
      <c r="E24" s="12">
        <v>3.4058623039355907E+35</v>
      </c>
      <c r="F24" s="12">
        <v>57</v>
      </c>
      <c r="G24" s="1">
        <v>1</v>
      </c>
      <c r="H24" s="12">
        <v>1975</v>
      </c>
      <c r="I24" s="44">
        <f>ABS(H24-B24)</f>
        <v>58</v>
      </c>
      <c r="J24" s="21">
        <v>1</v>
      </c>
      <c r="K24" s="13"/>
      <c r="L24" s="138" t="s">
        <v>74</v>
      </c>
      <c r="M24" s="138"/>
      <c r="N24" s="138"/>
      <c r="O24" s="138"/>
      <c r="P24" s="138"/>
      <c r="Q24" s="138"/>
      <c r="R24" s="138"/>
      <c r="S24" s="138"/>
      <c r="T24" s="138"/>
      <c r="U24" s="104"/>
    </row>
    <row r="25" spans="1:21" x14ac:dyDescent="0.2">
      <c r="A25" s="20">
        <v>14</v>
      </c>
      <c r="B25" s="12">
        <v>2032.9999999999472</v>
      </c>
      <c r="C25" s="12">
        <v>2.0641589720824694E+32</v>
      </c>
      <c r="D25" s="12">
        <v>7.9057288630747685E+34</v>
      </c>
      <c r="E25" s="12">
        <v>3.4058623039360747E+35</v>
      </c>
      <c r="F25" s="12">
        <v>579</v>
      </c>
      <c r="G25" s="1">
        <v>0.1</v>
      </c>
      <c r="H25" s="12">
        <v>1975</v>
      </c>
      <c r="I25" s="44">
        <f>ABS(H25-B25)</f>
        <v>57.999999999947249</v>
      </c>
      <c r="J25" s="21">
        <v>0.1</v>
      </c>
      <c r="K25" s="13"/>
      <c r="L25" s="138"/>
      <c r="M25" s="138"/>
      <c r="N25" s="138"/>
      <c r="O25" s="138"/>
      <c r="P25" s="138"/>
      <c r="Q25" s="138"/>
      <c r="R25" s="138"/>
      <c r="S25" s="138"/>
      <c r="T25" s="138"/>
      <c r="U25" s="104"/>
    </row>
    <row r="26" spans="1:21" x14ac:dyDescent="0.2">
      <c r="A26" s="20">
        <v>15</v>
      </c>
      <c r="B26" s="12">
        <v>2032.9899999999473</v>
      </c>
      <c r="C26" s="12">
        <v>2.0642128684850544E+32</v>
      </c>
      <c r="D26" s="12">
        <v>7.9057288650098209E+34</v>
      </c>
      <c r="E26" s="12">
        <v>3.4059512330003401E+35</v>
      </c>
      <c r="F26" s="12">
        <v>5798</v>
      </c>
      <c r="G26" s="1">
        <v>0.01</v>
      </c>
      <c r="H26" s="12">
        <v>1975</v>
      </c>
      <c r="I26" s="44">
        <f>ABS(H26-B26)</f>
        <v>57.989999999947258</v>
      </c>
      <c r="J26" s="21">
        <v>0.01</v>
      </c>
      <c r="K26" s="13"/>
      <c r="L26" s="138"/>
      <c r="M26" s="138"/>
      <c r="N26" s="138"/>
      <c r="O26" s="138"/>
      <c r="P26" s="138"/>
      <c r="Q26" s="138"/>
      <c r="R26" s="138"/>
      <c r="S26" s="138"/>
      <c r="T26" s="138"/>
      <c r="U26" s="104"/>
    </row>
    <row r="27" spans="1:21" x14ac:dyDescent="0.2">
      <c r="A27" s="20">
        <v>16</v>
      </c>
      <c r="B27" s="12">
        <v>2032.9909999986287</v>
      </c>
      <c r="C27" s="12">
        <v>2.0642074787766455E+32</v>
      </c>
      <c r="D27" s="12">
        <v>7.905728865013156E+34</v>
      </c>
      <c r="E27" s="12">
        <v>3.4059423399814653E+35</v>
      </c>
      <c r="F27" s="12">
        <v>57990</v>
      </c>
      <c r="G27" s="1">
        <v>1E-3</v>
      </c>
      <c r="H27" s="12">
        <v>1975</v>
      </c>
      <c r="I27" s="44">
        <f>ABS(H27-B27)</f>
        <v>57.990999998628695</v>
      </c>
      <c r="J27" s="21">
        <v>1E-3</v>
      </c>
      <c r="K27" s="13"/>
      <c r="L27" s="138"/>
      <c r="M27" s="138"/>
      <c r="N27" s="138"/>
      <c r="O27" s="138"/>
      <c r="P27" s="138"/>
      <c r="Q27" s="138"/>
      <c r="R27" s="138"/>
      <c r="S27" s="138"/>
      <c r="T27" s="138"/>
      <c r="U27" s="104"/>
    </row>
    <row r="28" spans="1:21" x14ac:dyDescent="0.2">
      <c r="A28" s="20">
        <v>17</v>
      </c>
      <c r="B28" s="12"/>
      <c r="C28" s="12"/>
      <c r="D28" s="12"/>
      <c r="E28" s="12"/>
      <c r="F28" s="12"/>
      <c r="G28" s="1">
        <v>1E-4</v>
      </c>
      <c r="H28" s="12">
        <v>1975</v>
      </c>
      <c r="I28" s="44">
        <f>ABS(H28-B28)</f>
        <v>1975</v>
      </c>
      <c r="J28" s="21">
        <v>1E-4</v>
      </c>
      <c r="K28" s="13"/>
      <c r="L28" s="138"/>
      <c r="M28" s="138"/>
      <c r="N28" s="138"/>
      <c r="O28" s="138"/>
      <c r="P28" s="138"/>
      <c r="Q28" s="138"/>
      <c r="R28" s="138"/>
      <c r="S28" s="138"/>
      <c r="T28" s="138"/>
      <c r="U28" s="104"/>
    </row>
    <row r="29" spans="1:21" x14ac:dyDescent="0.2">
      <c r="A29" s="20">
        <v>18</v>
      </c>
      <c r="B29" s="12"/>
      <c r="C29" s="12"/>
      <c r="D29" s="12"/>
      <c r="E29" s="12"/>
      <c r="F29" s="12"/>
      <c r="G29" s="1">
        <v>1.0000000000000001E-5</v>
      </c>
      <c r="H29" s="12">
        <v>1975</v>
      </c>
      <c r="I29" s="44">
        <f>ABS(H29-B29)</f>
        <v>1975</v>
      </c>
      <c r="J29" s="21">
        <v>1.0000000000000001E-5</v>
      </c>
      <c r="K29" s="13"/>
      <c r="L29" s="138"/>
      <c r="M29" s="138"/>
      <c r="N29" s="138"/>
      <c r="O29" s="138"/>
      <c r="P29" s="138"/>
      <c r="Q29" s="138"/>
      <c r="R29" s="138"/>
      <c r="S29" s="138"/>
      <c r="T29" s="138"/>
      <c r="U29" s="104"/>
    </row>
    <row r="30" spans="1:21" x14ac:dyDescent="0.2">
      <c r="A30" s="20">
        <v>19</v>
      </c>
      <c r="B30" s="12"/>
      <c r="C30" s="12"/>
      <c r="D30" s="12"/>
      <c r="E30" s="12"/>
      <c r="F30" s="12"/>
      <c r="G30" s="1">
        <v>9.9999999999999995E-7</v>
      </c>
      <c r="H30" s="12">
        <v>1975</v>
      </c>
      <c r="I30" s="44">
        <f>ABS(H30-B30)</f>
        <v>1975</v>
      </c>
      <c r="J30" s="21">
        <v>9.9999999999999995E-7</v>
      </c>
      <c r="K30" s="13"/>
      <c r="L30" s="138"/>
      <c r="M30" s="138"/>
      <c r="N30" s="138"/>
      <c r="O30" s="138"/>
      <c r="P30" s="138"/>
      <c r="Q30" s="138"/>
      <c r="R30" s="138"/>
      <c r="S30" s="138"/>
      <c r="T30" s="138"/>
      <c r="U30" s="104"/>
    </row>
    <row r="31" spans="1:21" x14ac:dyDescent="0.2">
      <c r="A31" s="20">
        <v>20</v>
      </c>
      <c r="B31" s="12"/>
      <c r="C31" s="12"/>
      <c r="D31" s="12"/>
      <c r="E31" s="12"/>
      <c r="F31" s="12"/>
      <c r="G31" s="1">
        <v>9.9999999999999995E-8</v>
      </c>
      <c r="H31" s="12">
        <v>1975</v>
      </c>
      <c r="I31" s="44">
        <f>ABS(H31-B31)</f>
        <v>1975</v>
      </c>
      <c r="J31" s="21">
        <v>9.9999999999999995E-8</v>
      </c>
      <c r="K31" s="13"/>
      <c r="L31" s="138"/>
      <c r="M31" s="138"/>
      <c r="N31" s="138"/>
      <c r="O31" s="138"/>
      <c r="P31" s="138"/>
      <c r="Q31" s="138"/>
      <c r="R31" s="138"/>
      <c r="S31" s="138"/>
      <c r="T31" s="138"/>
      <c r="U31" s="104"/>
    </row>
    <row r="32" spans="1:21" x14ac:dyDescent="0.2">
      <c r="A32" s="20">
        <v>21</v>
      </c>
      <c r="B32" s="12"/>
      <c r="C32" s="12"/>
      <c r="D32" s="12"/>
      <c r="E32" s="12"/>
      <c r="F32" s="12"/>
      <c r="G32" s="1">
        <v>1E-8</v>
      </c>
      <c r="H32" s="12">
        <v>1975</v>
      </c>
      <c r="I32" s="44">
        <f>ABS(H32-B32)</f>
        <v>1975</v>
      </c>
      <c r="J32" s="21">
        <v>1E-8</v>
      </c>
      <c r="K32" s="13"/>
      <c r="L32" s="138"/>
      <c r="M32" s="138"/>
      <c r="N32" s="138"/>
      <c r="O32" s="138"/>
      <c r="P32" s="138"/>
      <c r="Q32" s="138"/>
      <c r="R32" s="138"/>
      <c r="S32" s="138"/>
      <c r="T32" s="138"/>
      <c r="U32" s="104"/>
    </row>
    <row r="33" spans="1:21" ht="13.5" thickBot="1" x14ac:dyDescent="0.25">
      <c r="A33" s="14">
        <v>22</v>
      </c>
      <c r="B33" s="56"/>
      <c r="C33" s="56"/>
      <c r="D33" s="56"/>
      <c r="E33" s="56"/>
      <c r="F33" s="56"/>
      <c r="G33" s="61">
        <v>1.0000000000000001E-9</v>
      </c>
      <c r="H33" s="16">
        <v>1975</v>
      </c>
      <c r="I33" s="57">
        <f>ABS(H33-B33)</f>
        <v>1975</v>
      </c>
      <c r="J33" s="15">
        <v>1.0000000000000001E-9</v>
      </c>
      <c r="K33" s="13"/>
      <c r="L33" s="138"/>
      <c r="M33" s="138"/>
      <c r="N33" s="138"/>
      <c r="O33" s="138"/>
      <c r="P33" s="138"/>
      <c r="Q33" s="138"/>
      <c r="R33" s="138"/>
      <c r="S33" s="138"/>
      <c r="T33" s="138"/>
      <c r="U33" s="104"/>
    </row>
    <row r="34" spans="1:21" x14ac:dyDescent="0.2">
      <c r="A34" s="17">
        <v>23</v>
      </c>
      <c r="B34" s="18">
        <v>2035</v>
      </c>
      <c r="C34" s="18">
        <v>2.0534132253372754E+32</v>
      </c>
      <c r="D34" s="18">
        <v>7.9056409175485098E+34</v>
      </c>
      <c r="E34" s="18">
        <v>3.3881318218065047E+35</v>
      </c>
      <c r="F34" s="18">
        <v>4</v>
      </c>
      <c r="G34" s="27">
        <v>10</v>
      </c>
      <c r="H34" s="145">
        <v>1985</v>
      </c>
      <c r="I34" s="45">
        <f>ABS(H34-B34)</f>
        <v>50</v>
      </c>
      <c r="J34" s="19">
        <v>10</v>
      </c>
      <c r="K34" s="13"/>
      <c r="L34" s="138"/>
      <c r="M34" s="138"/>
      <c r="N34" s="138"/>
      <c r="O34" s="138"/>
      <c r="P34" s="138"/>
      <c r="Q34" s="138"/>
      <c r="R34" s="138"/>
      <c r="S34" s="138"/>
      <c r="T34" s="138"/>
      <c r="U34" s="104"/>
    </row>
    <row r="35" spans="1:21" x14ac:dyDescent="0.2">
      <c r="A35" s="20">
        <v>24</v>
      </c>
      <c r="B35" s="12">
        <v>2033</v>
      </c>
      <c r="C35" s="12">
        <v>2.0641589720821761E+32</v>
      </c>
      <c r="D35" s="12">
        <v>7.9057288630747344E+34</v>
      </c>
      <c r="E35" s="12">
        <v>3.4058623039355907E+35</v>
      </c>
      <c r="F35" s="12">
        <v>47</v>
      </c>
      <c r="G35" s="1">
        <v>1</v>
      </c>
      <c r="H35" s="12">
        <v>1985</v>
      </c>
      <c r="I35" s="44">
        <f>ABS(H35-B35)</f>
        <v>48</v>
      </c>
      <c r="J35" s="21">
        <v>1</v>
      </c>
      <c r="K35" s="13"/>
      <c r="L35" s="138"/>
      <c r="M35" s="138"/>
      <c r="N35" s="138"/>
      <c r="O35" s="138"/>
      <c r="P35" s="138"/>
      <c r="Q35" s="138"/>
      <c r="R35" s="138"/>
      <c r="S35" s="138"/>
      <c r="T35" s="138"/>
      <c r="U35" s="104"/>
    </row>
    <row r="36" spans="1:21" x14ac:dyDescent="0.2">
      <c r="A36" s="20">
        <v>25</v>
      </c>
      <c r="B36" s="12">
        <v>2032.9999999999563</v>
      </c>
      <c r="C36" s="12">
        <v>2.0641589720824106E+32</v>
      </c>
      <c r="D36" s="12">
        <v>7.9057288630747316E+34</v>
      </c>
      <c r="E36" s="12">
        <v>3.4058623039359773E+35</v>
      </c>
      <c r="F36" s="12">
        <v>479</v>
      </c>
      <c r="G36" s="1">
        <v>0.1</v>
      </c>
      <c r="H36" s="12">
        <v>1985</v>
      </c>
      <c r="I36" s="44">
        <f>ABS(H36-B36)</f>
        <v>47.999999999956344</v>
      </c>
      <c r="J36" s="21">
        <v>0.1</v>
      </c>
      <c r="K36" s="13"/>
      <c r="L36" s="138"/>
      <c r="M36" s="138"/>
      <c r="N36" s="138"/>
      <c r="O36" s="138"/>
      <c r="P36" s="138"/>
      <c r="Q36" s="138"/>
      <c r="R36" s="138"/>
      <c r="S36" s="138"/>
      <c r="T36" s="138"/>
      <c r="U36" s="104"/>
    </row>
    <row r="37" spans="1:21" x14ac:dyDescent="0.2">
      <c r="A37" s="20">
        <v>26</v>
      </c>
      <c r="B37" s="12">
        <v>2032.9899999999564</v>
      </c>
      <c r="C37" s="12">
        <v>2.0642128684850105E+32</v>
      </c>
      <c r="D37" s="12">
        <v>7.9057288650098402E+34</v>
      </c>
      <c r="E37" s="12">
        <v>3.405951233000267E+35</v>
      </c>
      <c r="F37" s="12">
        <v>4798</v>
      </c>
      <c r="G37" s="1">
        <v>0.01</v>
      </c>
      <c r="H37" s="12">
        <v>1985</v>
      </c>
      <c r="I37" s="44">
        <f>ABS(H37-B37)</f>
        <v>47.989999999956353</v>
      </c>
      <c r="J37" s="21">
        <v>0.01</v>
      </c>
      <c r="K37" s="13"/>
      <c r="L37" s="138"/>
      <c r="M37" s="138"/>
      <c r="N37" s="138"/>
      <c r="O37" s="138"/>
      <c r="P37" s="138"/>
      <c r="Q37" s="138"/>
      <c r="R37" s="138"/>
      <c r="S37" s="138"/>
      <c r="T37" s="138"/>
      <c r="U37" s="104"/>
    </row>
    <row r="38" spans="1:21" x14ac:dyDescent="0.2">
      <c r="A38" s="20">
        <v>27</v>
      </c>
      <c r="B38" s="12">
        <v>2032.9909999988652</v>
      </c>
      <c r="C38" s="12">
        <v>2.0642074787753841E+32</v>
      </c>
      <c r="D38" s="12">
        <v>7.9057288650132058E+34</v>
      </c>
      <c r="E38" s="12">
        <v>3.4059423399793837E+35</v>
      </c>
      <c r="F38" s="12">
        <v>47990</v>
      </c>
      <c r="G38" s="1">
        <v>1E-3</v>
      </c>
      <c r="H38" s="12">
        <v>1985</v>
      </c>
      <c r="I38" s="44">
        <f>ABS(H38-B38)</f>
        <v>47.990999998865163</v>
      </c>
      <c r="J38" s="21">
        <v>1E-3</v>
      </c>
      <c r="K38" s="13"/>
      <c r="L38" s="138"/>
      <c r="M38" s="138"/>
      <c r="N38" s="138"/>
      <c r="O38" s="138"/>
      <c r="P38" s="138"/>
      <c r="Q38" s="138"/>
      <c r="R38" s="138"/>
      <c r="S38" s="138"/>
      <c r="T38" s="138"/>
      <c r="U38" s="104"/>
    </row>
    <row r="39" spans="1:21" x14ac:dyDescent="0.2">
      <c r="A39" s="20">
        <v>28</v>
      </c>
      <c r="B39" s="12"/>
      <c r="C39" s="12"/>
      <c r="D39" s="12"/>
      <c r="E39" s="12"/>
      <c r="F39" s="12"/>
      <c r="G39" s="1">
        <v>1E-4</v>
      </c>
      <c r="H39" s="12">
        <v>1985</v>
      </c>
      <c r="I39" s="44">
        <f>ABS(H39-B39)</f>
        <v>1985</v>
      </c>
      <c r="J39" s="21">
        <v>1E-4</v>
      </c>
      <c r="K39" s="13"/>
      <c r="L39" s="138"/>
      <c r="M39" s="138"/>
      <c r="N39" s="138"/>
      <c r="O39" s="138"/>
      <c r="P39" s="138"/>
      <c r="Q39" s="138"/>
      <c r="R39" s="138"/>
      <c r="S39" s="138"/>
      <c r="T39" s="138"/>
      <c r="U39" s="104"/>
    </row>
    <row r="40" spans="1:21" x14ac:dyDescent="0.2">
      <c r="A40" s="20">
        <v>29</v>
      </c>
      <c r="B40" s="12"/>
      <c r="C40" s="12"/>
      <c r="D40" s="12"/>
      <c r="E40" s="12"/>
      <c r="F40" s="12"/>
      <c r="G40" s="1">
        <v>1.0000000000000001E-5</v>
      </c>
      <c r="H40" s="12">
        <v>1985</v>
      </c>
      <c r="I40" s="44">
        <f>ABS(H40-B40)</f>
        <v>1985</v>
      </c>
      <c r="J40" s="21">
        <v>1.0000000000000001E-5</v>
      </c>
      <c r="K40" s="13"/>
      <c r="L40" s="138"/>
      <c r="M40" s="138"/>
      <c r="N40" s="138"/>
      <c r="O40" s="138"/>
      <c r="P40" s="138"/>
      <c r="Q40" s="138"/>
      <c r="R40" s="138"/>
      <c r="S40" s="138"/>
      <c r="T40" s="138"/>
      <c r="U40" s="104"/>
    </row>
    <row r="41" spans="1:21" x14ac:dyDescent="0.2">
      <c r="A41" s="20">
        <v>30</v>
      </c>
      <c r="B41" s="12"/>
      <c r="C41" s="12"/>
      <c r="D41" s="12"/>
      <c r="E41" s="12"/>
      <c r="F41" s="12"/>
      <c r="G41" s="1">
        <v>9.9999999999999995E-7</v>
      </c>
      <c r="H41" s="12">
        <v>1985</v>
      </c>
      <c r="I41" s="44">
        <f>ABS(H41-B41)</f>
        <v>1985</v>
      </c>
      <c r="J41" s="21">
        <v>9.9999999999999995E-7</v>
      </c>
      <c r="K41" s="13"/>
      <c r="L41" s="138"/>
      <c r="M41" s="138"/>
      <c r="N41" s="138"/>
      <c r="O41" s="138"/>
      <c r="P41" s="138"/>
      <c r="Q41" s="138"/>
      <c r="R41" s="138"/>
      <c r="S41" s="138"/>
      <c r="T41" s="138"/>
      <c r="U41" s="104"/>
    </row>
    <row r="42" spans="1:21" x14ac:dyDescent="0.2">
      <c r="A42" s="20">
        <v>31</v>
      </c>
      <c r="B42" s="12"/>
      <c r="C42" s="12"/>
      <c r="D42" s="12"/>
      <c r="E42" s="12"/>
      <c r="F42" s="12"/>
      <c r="G42" s="1">
        <v>9.9999999999999995E-8</v>
      </c>
      <c r="H42" s="12">
        <v>1985</v>
      </c>
      <c r="I42" s="44">
        <f>ABS(H42-B42)</f>
        <v>1985</v>
      </c>
      <c r="J42" s="21">
        <v>9.9999999999999995E-8</v>
      </c>
      <c r="K42" s="13"/>
      <c r="L42" s="104"/>
      <c r="M42" s="104"/>
      <c r="N42" s="104"/>
      <c r="O42" s="104"/>
      <c r="P42" s="104"/>
      <c r="Q42" s="104"/>
      <c r="R42" s="104"/>
      <c r="S42" s="104"/>
      <c r="T42" s="104"/>
      <c r="U42" s="104"/>
    </row>
    <row r="43" spans="1:21" x14ac:dyDescent="0.2">
      <c r="A43" s="20">
        <v>32</v>
      </c>
      <c r="B43" s="12"/>
      <c r="C43" s="12"/>
      <c r="D43" s="12"/>
      <c r="E43" s="12"/>
      <c r="F43" s="12"/>
      <c r="G43" s="1">
        <v>1E-8</v>
      </c>
      <c r="H43" s="12">
        <v>1985</v>
      </c>
      <c r="I43" s="44">
        <f>ABS(H43-B43)</f>
        <v>1985</v>
      </c>
      <c r="J43" s="21">
        <v>1E-8</v>
      </c>
      <c r="K43" s="13"/>
    </row>
    <row r="44" spans="1:21" ht="13.5" thickBot="1" x14ac:dyDescent="0.25">
      <c r="A44" s="22">
        <v>33</v>
      </c>
      <c r="B44" s="23"/>
      <c r="C44" s="23"/>
      <c r="D44" s="23"/>
      <c r="E44" s="23"/>
      <c r="F44" s="23"/>
      <c r="G44" s="5">
        <v>1.0000000000000001E-9</v>
      </c>
      <c r="H44" s="23">
        <v>1985</v>
      </c>
      <c r="I44" s="46">
        <f>ABS(H44-B44)</f>
        <v>1985</v>
      </c>
      <c r="J44" s="24">
        <v>1.0000000000000001E-9</v>
      </c>
      <c r="K44" s="13"/>
    </row>
    <row r="45" spans="1:21" x14ac:dyDescent="0.2">
      <c r="A45" s="48">
        <v>34</v>
      </c>
      <c r="B45" s="16">
        <v>2035</v>
      </c>
      <c r="C45" s="16">
        <v>2.0534132253372754E+32</v>
      </c>
      <c r="D45" s="16">
        <v>7.9056409175485098E+34</v>
      </c>
      <c r="E45" s="16">
        <v>3.3881318218065047E+35</v>
      </c>
      <c r="F45" s="16">
        <v>3</v>
      </c>
      <c r="G45" s="60">
        <v>10</v>
      </c>
      <c r="H45" s="16">
        <v>1995</v>
      </c>
      <c r="I45" s="47">
        <f>ABS(H45-B45)</f>
        <v>40</v>
      </c>
      <c r="J45" s="49">
        <v>10</v>
      </c>
      <c r="K45" s="13"/>
    </row>
    <row r="46" spans="1:21" x14ac:dyDescent="0.2">
      <c r="A46" s="20">
        <v>35</v>
      </c>
      <c r="B46" s="12">
        <v>2033</v>
      </c>
      <c r="C46" s="12">
        <v>2.0641589720821761E+32</v>
      </c>
      <c r="D46" s="12">
        <v>7.9057288630747344E+34</v>
      </c>
      <c r="E46" s="12">
        <v>3.4058623039355907E+35</v>
      </c>
      <c r="F46" s="12">
        <v>37</v>
      </c>
      <c r="G46" s="1">
        <v>1</v>
      </c>
      <c r="H46" s="16">
        <v>1995</v>
      </c>
      <c r="I46" s="44">
        <f>ABS(H46-B46)</f>
        <v>38</v>
      </c>
      <c r="J46" s="21">
        <v>1</v>
      </c>
      <c r="K46" s="13"/>
    </row>
    <row r="47" spans="1:21" x14ac:dyDescent="0.2">
      <c r="A47" s="20">
        <v>36</v>
      </c>
      <c r="B47" s="12">
        <v>2032.9999999999654</v>
      </c>
      <c r="C47" s="12">
        <v>2.0641589720823667E+32</v>
      </c>
      <c r="D47" s="12">
        <v>7.905728863074751E+34</v>
      </c>
      <c r="E47" s="12">
        <v>3.405862303935905E+35</v>
      </c>
      <c r="F47" s="12">
        <v>379</v>
      </c>
      <c r="G47" s="1">
        <v>0.1</v>
      </c>
      <c r="H47" s="16">
        <v>1995</v>
      </c>
      <c r="I47" s="44">
        <f>ABS(H47-B47)</f>
        <v>37.999999999965439</v>
      </c>
      <c r="J47" s="21">
        <v>0.1</v>
      </c>
      <c r="K47" s="13"/>
    </row>
    <row r="48" spans="1:21" x14ac:dyDescent="0.2">
      <c r="A48" s="20">
        <v>37</v>
      </c>
      <c r="B48" s="12">
        <v>2032.9899999999654</v>
      </c>
      <c r="C48" s="12">
        <v>2.0642128684849665E+32</v>
      </c>
      <c r="D48" s="12">
        <v>7.9057288650098596E+34</v>
      </c>
      <c r="E48" s="12">
        <v>3.4059512330001947E+35</v>
      </c>
      <c r="F48" s="12">
        <v>3798</v>
      </c>
      <c r="G48" s="1">
        <v>0.01</v>
      </c>
      <c r="H48" s="16">
        <v>1995</v>
      </c>
      <c r="I48" s="44">
        <f>ABS(H48-B48)</f>
        <v>37.989999999965448</v>
      </c>
      <c r="J48" s="21">
        <v>0.01</v>
      </c>
      <c r="K48" s="13"/>
    </row>
    <row r="49" spans="1:11" x14ac:dyDescent="0.2">
      <c r="A49" s="20">
        <v>38</v>
      </c>
      <c r="B49" s="12">
        <v>2032.9909999991016</v>
      </c>
      <c r="C49" s="12">
        <v>2.0642074787740932E+32</v>
      </c>
      <c r="D49" s="12">
        <v>7.9057288650131431E+34</v>
      </c>
      <c r="E49" s="12">
        <v>3.4059423399772535E+35</v>
      </c>
      <c r="F49" s="12">
        <v>37990</v>
      </c>
      <c r="G49" s="1">
        <v>1E-3</v>
      </c>
      <c r="H49" s="16">
        <v>1995</v>
      </c>
      <c r="I49" s="44">
        <f>ABS(H49-B49)</f>
        <v>37.990999999101632</v>
      </c>
      <c r="J49" s="21">
        <v>1E-3</v>
      </c>
      <c r="K49" s="13"/>
    </row>
    <row r="50" spans="1:11" x14ac:dyDescent="0.2">
      <c r="A50" s="20">
        <v>39</v>
      </c>
      <c r="B50" s="12"/>
      <c r="C50" s="12"/>
      <c r="D50" s="12"/>
      <c r="E50" s="12"/>
      <c r="F50" s="12"/>
      <c r="G50" s="1">
        <v>1E-4</v>
      </c>
      <c r="H50" s="16">
        <v>1995</v>
      </c>
      <c r="I50" s="44">
        <f>ABS(H50-B50)</f>
        <v>1995</v>
      </c>
      <c r="J50" s="21">
        <v>1E-4</v>
      </c>
      <c r="K50" s="13"/>
    </row>
    <row r="51" spans="1:11" x14ac:dyDescent="0.2">
      <c r="A51" s="20">
        <v>40</v>
      </c>
      <c r="B51" s="12"/>
      <c r="C51" s="12"/>
      <c r="D51" s="12"/>
      <c r="E51" s="12"/>
      <c r="F51" s="12"/>
      <c r="G51" s="1">
        <v>1.0000000000000001E-5</v>
      </c>
      <c r="H51" s="16">
        <v>1995</v>
      </c>
      <c r="I51" s="44">
        <f>ABS(H51-B51)</f>
        <v>1995</v>
      </c>
      <c r="J51" s="21">
        <v>1.0000000000000001E-5</v>
      </c>
      <c r="K51" s="13"/>
    </row>
    <row r="52" spans="1:11" x14ac:dyDescent="0.2">
      <c r="A52" s="20">
        <v>41</v>
      </c>
      <c r="B52" s="12"/>
      <c r="C52" s="12"/>
      <c r="D52" s="12"/>
      <c r="E52" s="12"/>
      <c r="F52" s="12"/>
      <c r="G52" s="1">
        <v>9.9999999999999995E-7</v>
      </c>
      <c r="H52" s="16">
        <v>1995</v>
      </c>
      <c r="I52" s="44">
        <f>ABS(H52-B52)</f>
        <v>1995</v>
      </c>
      <c r="J52" s="21">
        <v>9.9999999999999995E-7</v>
      </c>
      <c r="K52" s="13"/>
    </row>
    <row r="53" spans="1:11" x14ac:dyDescent="0.2">
      <c r="A53" s="20">
        <v>42</v>
      </c>
      <c r="B53" s="12"/>
      <c r="C53" s="12"/>
      <c r="D53" s="12"/>
      <c r="E53" s="12"/>
      <c r="F53" s="12"/>
      <c r="G53" s="1">
        <v>9.9999999999999995E-8</v>
      </c>
      <c r="H53" s="16">
        <v>1995</v>
      </c>
      <c r="I53" s="44">
        <f>ABS(H53-B53)</f>
        <v>1995</v>
      </c>
      <c r="J53" s="21">
        <v>9.9999999999999995E-8</v>
      </c>
      <c r="K53" s="13"/>
    </row>
    <row r="54" spans="1:11" x14ac:dyDescent="0.2">
      <c r="A54" s="20">
        <v>43</v>
      </c>
      <c r="B54" s="12"/>
      <c r="C54" s="12"/>
      <c r="D54" s="12"/>
      <c r="E54" s="12"/>
      <c r="F54" s="12"/>
      <c r="G54" s="1">
        <v>1E-8</v>
      </c>
      <c r="H54" s="16">
        <v>1995</v>
      </c>
      <c r="I54" s="44">
        <f>ABS(H54-B54)</f>
        <v>1995</v>
      </c>
      <c r="J54" s="21">
        <v>1E-8</v>
      </c>
      <c r="K54" s="13"/>
    </row>
    <row r="55" spans="1:11" ht="13.5" thickBot="1" x14ac:dyDescent="0.25">
      <c r="A55" s="14">
        <v>44</v>
      </c>
      <c r="B55" s="56"/>
      <c r="C55" s="56"/>
      <c r="D55" s="56"/>
      <c r="E55" s="56"/>
      <c r="F55" s="56"/>
      <c r="G55" s="61">
        <v>1.0000000000000001E-9</v>
      </c>
      <c r="H55" s="16">
        <v>1995</v>
      </c>
      <c r="I55" s="57">
        <f>ABS(H55-B55)</f>
        <v>1995</v>
      </c>
      <c r="J55" s="15">
        <v>1.0000000000000001E-9</v>
      </c>
      <c r="K55" s="13"/>
    </row>
    <row r="56" spans="1:11" x14ac:dyDescent="0.2">
      <c r="A56" s="17">
        <v>45</v>
      </c>
      <c r="B56" s="18">
        <v>2035</v>
      </c>
      <c r="C56" s="18">
        <v>2.0534132253372754E+32</v>
      </c>
      <c r="D56" s="18">
        <v>7.9056409175485098E+34</v>
      </c>
      <c r="E56" s="18">
        <v>3.3881318218065047E+35</v>
      </c>
      <c r="F56" s="18">
        <v>2</v>
      </c>
      <c r="G56" s="27">
        <v>10</v>
      </c>
      <c r="H56" s="145">
        <v>2005</v>
      </c>
      <c r="I56" s="45">
        <f>ABS(H56-B56)</f>
        <v>30</v>
      </c>
      <c r="J56" s="19">
        <v>10</v>
      </c>
      <c r="K56" s="13"/>
    </row>
    <row r="57" spans="1:11" x14ac:dyDescent="0.2">
      <c r="A57" s="20">
        <v>46</v>
      </c>
      <c r="B57" s="12">
        <v>2033</v>
      </c>
      <c r="C57" s="12">
        <v>2.0641589720821761E+32</v>
      </c>
      <c r="D57" s="12">
        <v>7.9057288630747344E+34</v>
      </c>
      <c r="E57" s="12">
        <v>3.4058623039355907E+35</v>
      </c>
      <c r="F57" s="12">
        <v>27</v>
      </c>
      <c r="G57" s="1">
        <v>1</v>
      </c>
      <c r="H57" s="12">
        <v>2005</v>
      </c>
      <c r="I57" s="44">
        <f>ABS(H57-B57)</f>
        <v>28</v>
      </c>
      <c r="J57" s="21">
        <v>1</v>
      </c>
      <c r="K57" s="13"/>
    </row>
    <row r="58" spans="1:11" x14ac:dyDescent="0.2">
      <c r="A58" s="20">
        <v>47</v>
      </c>
      <c r="B58" s="12">
        <v>2032.9999999999745</v>
      </c>
      <c r="C58" s="12">
        <v>2.064158972082308E+32</v>
      </c>
      <c r="D58" s="12">
        <v>7.9057288630747141E+34</v>
      </c>
      <c r="E58" s="12">
        <v>3.4058623039358083E+35</v>
      </c>
      <c r="F58" s="12">
        <v>279</v>
      </c>
      <c r="G58" s="1">
        <v>0.1</v>
      </c>
      <c r="H58" s="12">
        <v>2005</v>
      </c>
      <c r="I58" s="44">
        <f>ABS(H58-B58)</f>
        <v>27.999999999974534</v>
      </c>
      <c r="J58" s="21">
        <v>0.1</v>
      </c>
      <c r="K58" s="13"/>
    </row>
    <row r="59" spans="1:11" x14ac:dyDescent="0.2">
      <c r="A59" s="20">
        <v>48</v>
      </c>
      <c r="B59" s="12">
        <v>2032.9899999999745</v>
      </c>
      <c r="C59" s="12">
        <v>2.0642128684849222E+32</v>
      </c>
      <c r="D59" s="12">
        <v>7.905728865009878E+34</v>
      </c>
      <c r="E59" s="12">
        <v>3.4059512330001217E+35</v>
      </c>
      <c r="F59" s="12">
        <v>2798</v>
      </c>
      <c r="G59" s="1">
        <v>0.01</v>
      </c>
      <c r="H59" s="12">
        <v>2005</v>
      </c>
      <c r="I59" s="44">
        <f>ABS(H59-B59)</f>
        <v>27.989999999974543</v>
      </c>
      <c r="J59" s="21">
        <v>0.01</v>
      </c>
      <c r="K59" s="13"/>
    </row>
    <row r="60" spans="1:11" x14ac:dyDescent="0.2">
      <c r="A60" s="20">
        <v>49</v>
      </c>
      <c r="B60" s="12">
        <v>2032.9909999993381</v>
      </c>
      <c r="C60" s="12">
        <v>2.0642074787728322E+32</v>
      </c>
      <c r="D60" s="12">
        <v>7.9057288650131948E+34</v>
      </c>
      <c r="E60" s="12">
        <v>3.4059423399751735E+35</v>
      </c>
      <c r="F60" s="12">
        <v>27990</v>
      </c>
      <c r="G60" s="1">
        <v>1E-3</v>
      </c>
      <c r="H60" s="12">
        <v>2005</v>
      </c>
      <c r="I60" s="44">
        <f>ABS(H60-B60)</f>
        <v>27.990999999338101</v>
      </c>
      <c r="J60" s="21">
        <v>1E-3</v>
      </c>
      <c r="K60" s="13"/>
    </row>
    <row r="61" spans="1:11" x14ac:dyDescent="0.2">
      <c r="A61" s="20">
        <v>50</v>
      </c>
      <c r="B61" s="12"/>
      <c r="C61" s="12"/>
      <c r="D61" s="12"/>
      <c r="E61" s="12"/>
      <c r="F61" s="12"/>
      <c r="G61" s="1">
        <v>1E-4</v>
      </c>
      <c r="H61" s="12">
        <v>2005</v>
      </c>
      <c r="I61" s="44">
        <f>ABS(H61-B61)</f>
        <v>2005</v>
      </c>
      <c r="J61" s="21">
        <v>1E-4</v>
      </c>
      <c r="K61" s="13"/>
    </row>
    <row r="62" spans="1:11" x14ac:dyDescent="0.2">
      <c r="A62" s="20">
        <v>51</v>
      </c>
      <c r="B62" s="12"/>
      <c r="C62" s="12"/>
      <c r="D62" s="12"/>
      <c r="E62" s="12"/>
      <c r="F62" s="12"/>
      <c r="G62" s="1">
        <v>1.0000000000000001E-5</v>
      </c>
      <c r="H62" s="12">
        <v>2005</v>
      </c>
      <c r="I62" s="44">
        <f>ABS(H62-B62)</f>
        <v>2005</v>
      </c>
      <c r="J62" s="21">
        <v>1.0000000000000001E-5</v>
      </c>
      <c r="K62" s="13"/>
    </row>
    <row r="63" spans="1:11" x14ac:dyDescent="0.2">
      <c r="A63" s="20">
        <v>52</v>
      </c>
      <c r="B63" s="12"/>
      <c r="C63" s="12"/>
      <c r="D63" s="12"/>
      <c r="E63" s="12"/>
      <c r="F63" s="12"/>
      <c r="G63" s="1">
        <v>9.9999999999999995E-7</v>
      </c>
      <c r="H63" s="12">
        <v>2005</v>
      </c>
      <c r="I63" s="44">
        <f>ABS(H63-B63)</f>
        <v>2005</v>
      </c>
      <c r="J63" s="21">
        <v>9.9999999999999995E-7</v>
      </c>
      <c r="K63" s="13"/>
    </row>
    <row r="64" spans="1:11" x14ac:dyDescent="0.2">
      <c r="A64" s="20">
        <v>53</v>
      </c>
      <c r="B64" s="12"/>
      <c r="C64" s="12"/>
      <c r="D64" s="12"/>
      <c r="E64" s="12"/>
      <c r="F64" s="12"/>
      <c r="G64" s="1">
        <v>9.9999999999999995E-8</v>
      </c>
      <c r="H64" s="12">
        <v>2005</v>
      </c>
      <c r="I64" s="44">
        <f>ABS(H64-B64)</f>
        <v>2005</v>
      </c>
      <c r="J64" s="21">
        <v>9.9999999999999995E-8</v>
      </c>
      <c r="K64" s="13"/>
    </row>
    <row r="65" spans="1:11" x14ac:dyDescent="0.2">
      <c r="A65" s="20">
        <v>54</v>
      </c>
      <c r="B65" s="12"/>
      <c r="C65" s="12"/>
      <c r="D65" s="12"/>
      <c r="E65" s="12"/>
      <c r="F65" s="12"/>
      <c r="G65" s="1">
        <v>1E-8</v>
      </c>
      <c r="H65" s="12">
        <v>2005</v>
      </c>
      <c r="I65" s="44">
        <f>ABS(H65-B65)</f>
        <v>2005</v>
      </c>
      <c r="J65" s="21">
        <v>1E-8</v>
      </c>
      <c r="K65" s="13"/>
    </row>
    <row r="66" spans="1:11" ht="13.5" thickBot="1" x14ac:dyDescent="0.25">
      <c r="A66" s="22">
        <v>55</v>
      </c>
      <c r="B66" s="23"/>
      <c r="C66" s="23"/>
      <c r="D66" s="23"/>
      <c r="E66" s="23"/>
      <c r="F66" s="23"/>
      <c r="G66" s="5">
        <v>1.0000000000000001E-9</v>
      </c>
      <c r="H66" s="16">
        <v>2005</v>
      </c>
      <c r="I66" s="46">
        <f>ABS(H66-B66)</f>
        <v>2005</v>
      </c>
      <c r="J66" s="24">
        <v>1.0000000000000001E-9</v>
      </c>
      <c r="K66" s="13"/>
    </row>
    <row r="67" spans="1:11" ht="13.5" thickBot="1" x14ac:dyDescent="0.25">
      <c r="H67" s="59">
        <f>sheet1!I8</f>
        <v>2032.9905761107311</v>
      </c>
    </row>
    <row r="75" spans="1:11" x14ac:dyDescent="0.2">
      <c r="F75" t="s">
        <v>114</v>
      </c>
    </row>
  </sheetData>
  <autoFilter ref="A11:J67" xr:uid="{00000000-0001-0000-0300-000000000000}"/>
  <mergeCells count="5">
    <mergeCell ref="K12:M15"/>
    <mergeCell ref="K11:M11"/>
    <mergeCell ref="K18:M22"/>
    <mergeCell ref="K17:M17"/>
    <mergeCell ref="L24:T41"/>
  </mergeCells>
  <phoneticPr fontId="2" type="noConversion"/>
  <conditionalFormatting sqref="A7:E7">
    <cfRule type="expression" dxfId="4" priority="1" stopIfTrue="1">
      <formula>$A$7=0</formula>
    </cfRule>
  </conditionalFormatting>
  <conditionalFormatting sqref="F7:K7">
    <cfRule type="expression" dxfId="3" priority="2" stopIfTrue="1">
      <formula>$A$7=0</formula>
    </cfRule>
    <cfRule type="expression" dxfId="2" priority="3" stopIfTrue="1">
      <formula>$F$7="Solution Is Found"</formula>
    </cfRule>
  </conditionalFormatting>
  <pageMargins left="0.75" right="0.75" top="1" bottom="1" header="0.5" footer="0.5"/>
  <pageSetup paperSize="9" orientation="portrait" horizontalDpi="200" verticalDpi="2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30" r:id="rId4" name="Drop Down 106">
              <controlPr defaultSize="0" autoLine="0" autoPict="0">
                <anchor moveWithCells="1">
                  <from>
                    <xdr:col>8</xdr:col>
                    <xdr:colOff>0</xdr:colOff>
                    <xdr:row>4</xdr:row>
                    <xdr:rowOff>0</xdr:rowOff>
                  </from>
                  <to>
                    <xdr:col>9</xdr:col>
                    <xdr:colOff>9525</xdr:colOff>
                    <xdr:row>4</xdr:row>
                    <xdr:rowOff>219075</xdr:rowOff>
                  </to>
                </anchor>
              </controlPr>
            </control>
          </mc:Choice>
        </mc:AlternateContent>
        <mc:AlternateContent xmlns:mc="http://schemas.openxmlformats.org/markup-compatibility/2006">
          <mc:Choice Requires="x14">
            <control shapeId="1189" r:id="rId5" name="List Box 165">
              <controlPr defaultSize="0" autoLine="0" autoPict="0">
                <anchor moveWithCells="1">
                  <from>
                    <xdr:col>6</xdr:col>
                    <xdr:colOff>9525</xdr:colOff>
                    <xdr:row>2</xdr:row>
                    <xdr:rowOff>161925</xdr:rowOff>
                  </from>
                  <to>
                    <xdr:col>8</xdr:col>
                    <xdr:colOff>0</xdr:colOff>
                    <xdr:row>4</xdr:row>
                    <xdr:rowOff>219075</xdr:rowOff>
                  </to>
                </anchor>
              </controlPr>
            </control>
          </mc:Choice>
        </mc:AlternateContent>
        <mc:AlternateContent xmlns:mc="http://schemas.openxmlformats.org/markup-compatibility/2006">
          <mc:Choice Requires="x14">
            <control shapeId="1214" r:id="rId6" name="Drop Down 190">
              <controlPr defaultSize="0" autoLine="0" autoPict="0">
                <anchor moveWithCells="1">
                  <from>
                    <xdr:col>8</xdr:col>
                    <xdr:colOff>0</xdr:colOff>
                    <xdr:row>4</xdr:row>
                    <xdr:rowOff>0</xdr:rowOff>
                  </from>
                  <to>
                    <xdr:col>9</xdr:col>
                    <xdr:colOff>9525</xdr:colOff>
                    <xdr:row>4</xdr:row>
                    <xdr:rowOff>219075</xdr:rowOff>
                  </to>
                </anchor>
              </controlPr>
            </control>
          </mc:Choice>
        </mc:AlternateContent>
        <mc:AlternateContent xmlns:mc="http://schemas.openxmlformats.org/markup-compatibility/2006">
          <mc:Choice Requires="x14">
            <control shapeId="1219" r:id="rId7" name="Button 195">
              <controlPr defaultSize="0" print="0" autoFill="0" autoPict="0" macro="[0]!ElapsedTimeForTolerance_Click">
                <anchor moveWithCells="1" sizeWithCells="1">
                  <from>
                    <xdr:col>13</xdr:col>
                    <xdr:colOff>66675</xdr:colOff>
                    <xdr:row>16</xdr:row>
                    <xdr:rowOff>104775</xdr:rowOff>
                  </from>
                  <to>
                    <xdr:col>14</xdr:col>
                    <xdr:colOff>657225</xdr:colOff>
                    <xdr:row>21</xdr:row>
                    <xdr:rowOff>47625</xdr:rowOff>
                  </to>
                </anchor>
              </controlPr>
            </control>
          </mc:Choice>
        </mc:AlternateContent>
        <mc:AlternateContent xmlns:mc="http://schemas.openxmlformats.org/markup-compatibility/2006">
          <mc:Choice Requires="x14">
            <control shapeId="1223" r:id="rId8" name="Button 199">
              <controlPr defaultSize="0" print="0" autoFill="0" autoPict="0" macro="[0]!ElapsedTimeForK_max_Click">
                <anchor moveWithCells="1" sizeWithCells="1">
                  <from>
                    <xdr:col>13</xdr:col>
                    <xdr:colOff>57150</xdr:colOff>
                    <xdr:row>10</xdr:row>
                    <xdr:rowOff>57150</xdr:rowOff>
                  </from>
                  <to>
                    <xdr:col>14</xdr:col>
                    <xdr:colOff>676275</xdr:colOff>
                    <xdr:row>12</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P112"/>
  <sheetViews>
    <sheetView tabSelected="1" topLeftCell="A67" workbookViewId="0">
      <selection activeCell="F75" sqref="F75"/>
    </sheetView>
  </sheetViews>
  <sheetFormatPr defaultRowHeight="12.75" x14ac:dyDescent="0.2"/>
  <cols>
    <col min="2" max="2" width="12.140625" customWidth="1"/>
    <col min="3" max="3" width="13.28515625" customWidth="1"/>
    <col min="4" max="4" width="14.140625" customWidth="1"/>
    <col min="5" max="5" width="15.140625" customWidth="1"/>
    <col min="6" max="6" width="13.7109375" customWidth="1"/>
    <col min="7" max="7" width="13.5703125" customWidth="1"/>
    <col min="8" max="8" width="12.85546875" customWidth="1"/>
    <col min="9" max="9" width="17" customWidth="1"/>
    <col min="10" max="10" width="13.28515625" customWidth="1"/>
  </cols>
  <sheetData>
    <row r="1" spans="1:10" ht="18.75" x14ac:dyDescent="0.3">
      <c r="A1" s="2" t="s">
        <v>14</v>
      </c>
    </row>
    <row r="2" spans="1:10" x14ac:dyDescent="0.2">
      <c r="A2" t="s">
        <v>10</v>
      </c>
    </row>
    <row r="3" spans="1:10" x14ac:dyDescent="0.2">
      <c r="A3" t="s">
        <v>11</v>
      </c>
    </row>
    <row r="4" spans="1:10" x14ac:dyDescent="0.2">
      <c r="A4" s="2" t="s">
        <v>35</v>
      </c>
    </row>
    <row r="5" spans="1:10" x14ac:dyDescent="0.2">
      <c r="A5" s="58" t="s">
        <v>36</v>
      </c>
    </row>
    <row r="6" spans="1:10" x14ac:dyDescent="0.2">
      <c r="A6" s="58" t="s">
        <v>37</v>
      </c>
    </row>
    <row r="7" spans="1:10" x14ac:dyDescent="0.2">
      <c r="A7" s="58" t="s">
        <v>38</v>
      </c>
    </row>
    <row r="8" spans="1:10" x14ac:dyDescent="0.2">
      <c r="A8" s="58"/>
    </row>
    <row r="10" spans="1:10" ht="13.5" thickBot="1" x14ac:dyDescent="0.25">
      <c r="A10" s="2" t="s">
        <v>115</v>
      </c>
    </row>
    <row r="11" spans="1:10" ht="34.5" thickBot="1" x14ac:dyDescent="0.25">
      <c r="A11" s="62" t="s">
        <v>4</v>
      </c>
      <c r="B11" s="63" t="s">
        <v>5</v>
      </c>
      <c r="C11" s="63" t="s">
        <v>8</v>
      </c>
      <c r="D11" s="63" t="s">
        <v>6</v>
      </c>
      <c r="E11" s="63" t="s">
        <v>9</v>
      </c>
      <c r="F11" s="63" t="s">
        <v>12</v>
      </c>
      <c r="G11" s="63" t="s">
        <v>13</v>
      </c>
      <c r="H11" s="63" t="s">
        <v>7</v>
      </c>
      <c r="I11" s="63" t="s">
        <v>47</v>
      </c>
      <c r="J11" s="149" t="s">
        <v>15</v>
      </c>
    </row>
    <row r="12" spans="1:10" x14ac:dyDescent="0.2">
      <c r="A12" s="17">
        <v>1</v>
      </c>
      <c r="B12" s="18">
        <v>2035</v>
      </c>
      <c r="C12" s="18">
        <v>2.0534132253372754E+32</v>
      </c>
      <c r="D12" s="18">
        <v>7.9056409175485098E+34</v>
      </c>
      <c r="E12" s="18">
        <v>3.3881318218065047E+35</v>
      </c>
      <c r="F12" s="18">
        <v>6</v>
      </c>
      <c r="G12" s="27">
        <v>10</v>
      </c>
      <c r="H12" s="145">
        <v>1965</v>
      </c>
      <c r="I12" s="45">
        <f>ABS(H12-B12)</f>
        <v>70</v>
      </c>
      <c r="J12" s="19">
        <f t="shared" ref="J12:J22" si="0">G12</f>
        <v>10</v>
      </c>
    </row>
    <row r="13" spans="1:10" x14ac:dyDescent="0.2">
      <c r="A13" s="20">
        <v>2</v>
      </c>
      <c r="B13" s="12">
        <v>2033</v>
      </c>
      <c r="C13" s="12">
        <v>2.0641589720821761E+32</v>
      </c>
      <c r="D13" s="12">
        <v>7.9057288630747344E+34</v>
      </c>
      <c r="E13" s="12">
        <v>3.4058623039355907E+35</v>
      </c>
      <c r="F13" s="12">
        <v>67</v>
      </c>
      <c r="G13" s="146">
        <v>1</v>
      </c>
      <c r="H13" s="12">
        <v>1965</v>
      </c>
      <c r="I13" s="147">
        <f t="shared" ref="I13:I66" si="1">ABS(H13-B13)</f>
        <v>68</v>
      </c>
      <c r="J13" s="21">
        <f t="shared" si="0"/>
        <v>1</v>
      </c>
    </row>
    <row r="14" spans="1:10" x14ac:dyDescent="0.2">
      <c r="A14" s="20">
        <v>3</v>
      </c>
      <c r="B14" s="12">
        <v>2032.9999999999382</v>
      </c>
      <c r="C14" s="12">
        <v>2.0641589720825133E+32</v>
      </c>
      <c r="D14" s="12">
        <v>7.9057288630747491E+34</v>
      </c>
      <c r="E14" s="12">
        <v>3.405862303936147E+35</v>
      </c>
      <c r="F14" s="12">
        <v>679</v>
      </c>
      <c r="G14" s="146">
        <v>0.1</v>
      </c>
      <c r="H14" s="12">
        <v>1965</v>
      </c>
      <c r="I14" s="147">
        <f t="shared" si="1"/>
        <v>67.999999999938154</v>
      </c>
      <c r="J14" s="21">
        <f t="shared" si="0"/>
        <v>0.1</v>
      </c>
    </row>
    <row r="15" spans="1:10" x14ac:dyDescent="0.2">
      <c r="A15" s="20">
        <v>4</v>
      </c>
      <c r="B15" s="12">
        <v>2032.9899999999382</v>
      </c>
      <c r="C15" s="12">
        <v>2.0642128684851132E+32</v>
      </c>
      <c r="D15" s="12">
        <v>7.9057288650098587E+34</v>
      </c>
      <c r="E15" s="12">
        <v>3.4059512330004367E+35</v>
      </c>
      <c r="F15" s="12">
        <v>6798</v>
      </c>
      <c r="G15" s="146">
        <v>0.01</v>
      </c>
      <c r="H15" s="12">
        <v>1965</v>
      </c>
      <c r="I15" s="147">
        <f t="shared" si="1"/>
        <v>67.989999999938163</v>
      </c>
      <c r="J15" s="21">
        <f t="shared" si="0"/>
        <v>0.01</v>
      </c>
    </row>
    <row r="16" spans="1:10" x14ac:dyDescent="0.2">
      <c r="A16" s="20">
        <v>5</v>
      </c>
      <c r="B16" s="12">
        <v>2032.9909999983922</v>
      </c>
      <c r="C16" s="12">
        <v>2.0642074787779361E+32</v>
      </c>
      <c r="D16" s="12">
        <v>7.9057288650132169E+34</v>
      </c>
      <c r="E16" s="12">
        <v>3.4059423399835948E+35</v>
      </c>
      <c r="F16" s="12">
        <v>67990</v>
      </c>
      <c r="G16" s="146">
        <v>1E-3</v>
      </c>
      <c r="H16" s="12">
        <v>1965</v>
      </c>
      <c r="I16" s="147">
        <f t="shared" si="1"/>
        <v>67.990999998392226</v>
      </c>
      <c r="J16" s="21">
        <f t="shared" si="0"/>
        <v>1E-3</v>
      </c>
    </row>
    <row r="17" spans="1:10" x14ac:dyDescent="0.2">
      <c r="A17" s="20">
        <v>6</v>
      </c>
      <c r="B17" s="12"/>
      <c r="C17" s="12"/>
      <c r="D17" s="12"/>
      <c r="E17" s="12"/>
      <c r="F17" s="12"/>
      <c r="G17" s="146">
        <v>1E-4</v>
      </c>
      <c r="H17" s="12">
        <v>1965</v>
      </c>
      <c r="I17" s="147">
        <f t="shared" si="1"/>
        <v>1965</v>
      </c>
      <c r="J17" s="21">
        <f t="shared" si="0"/>
        <v>1E-4</v>
      </c>
    </row>
    <row r="18" spans="1:10" x14ac:dyDescent="0.2">
      <c r="A18" s="20">
        <v>7</v>
      </c>
      <c r="B18" s="12"/>
      <c r="C18" s="12"/>
      <c r="D18" s="12"/>
      <c r="E18" s="12"/>
      <c r="F18" s="12"/>
      <c r="G18" s="146">
        <v>1.0000000000000001E-5</v>
      </c>
      <c r="H18" s="12">
        <v>1965</v>
      </c>
      <c r="I18" s="147">
        <f t="shared" si="1"/>
        <v>1965</v>
      </c>
      <c r="J18" s="21">
        <f t="shared" si="0"/>
        <v>1.0000000000000001E-5</v>
      </c>
    </row>
    <row r="19" spans="1:10" x14ac:dyDescent="0.2">
      <c r="A19" s="20">
        <v>8</v>
      </c>
      <c r="B19" s="12"/>
      <c r="C19" s="12"/>
      <c r="D19" s="12"/>
      <c r="E19" s="12"/>
      <c r="F19" s="12"/>
      <c r="G19" s="146">
        <v>9.9999999999999995E-7</v>
      </c>
      <c r="H19" s="12">
        <v>1965</v>
      </c>
      <c r="I19" s="147">
        <f t="shared" si="1"/>
        <v>1965</v>
      </c>
      <c r="J19" s="21">
        <f t="shared" si="0"/>
        <v>9.9999999999999995E-7</v>
      </c>
    </row>
    <row r="20" spans="1:10" x14ac:dyDescent="0.2">
      <c r="A20" s="20">
        <v>9</v>
      </c>
      <c r="B20" s="12"/>
      <c r="C20" s="12"/>
      <c r="D20" s="12"/>
      <c r="E20" s="12"/>
      <c r="F20" s="12"/>
      <c r="G20" s="146">
        <v>9.9999999999999995E-8</v>
      </c>
      <c r="H20" s="12">
        <v>1965</v>
      </c>
      <c r="I20" s="147">
        <f t="shared" si="1"/>
        <v>1965</v>
      </c>
      <c r="J20" s="21">
        <f t="shared" si="0"/>
        <v>9.9999999999999995E-8</v>
      </c>
    </row>
    <row r="21" spans="1:10" x14ac:dyDescent="0.2">
      <c r="A21" s="20">
        <v>10</v>
      </c>
      <c r="B21" s="12"/>
      <c r="C21" s="12"/>
      <c r="D21" s="12"/>
      <c r="E21" s="12"/>
      <c r="F21" s="12"/>
      <c r="G21" s="146">
        <v>1E-8</v>
      </c>
      <c r="H21" s="12">
        <v>1965</v>
      </c>
      <c r="I21" s="147">
        <f t="shared" si="1"/>
        <v>1965</v>
      </c>
      <c r="J21" s="21">
        <f t="shared" si="0"/>
        <v>1E-8</v>
      </c>
    </row>
    <row r="22" spans="1:10" ht="13.5" thickBot="1" x14ac:dyDescent="0.25">
      <c r="A22" s="14">
        <v>11</v>
      </c>
      <c r="B22" s="56"/>
      <c r="C22" s="56"/>
      <c r="D22" s="56"/>
      <c r="E22" s="56"/>
      <c r="F22" s="56"/>
      <c r="G22" s="61">
        <v>1.0000000000000001E-18</v>
      </c>
      <c r="H22" s="16">
        <v>1965</v>
      </c>
      <c r="I22" s="57">
        <f t="shared" si="1"/>
        <v>1965</v>
      </c>
      <c r="J22" s="15">
        <f t="shared" si="0"/>
        <v>1.0000000000000001E-18</v>
      </c>
    </row>
    <row r="23" spans="1:10" x14ac:dyDescent="0.2">
      <c r="A23" s="17">
        <v>12</v>
      </c>
      <c r="B23" s="18">
        <v>2035</v>
      </c>
      <c r="C23" s="18">
        <v>2.0534132253372754E+32</v>
      </c>
      <c r="D23" s="18">
        <v>7.9056409175485098E+34</v>
      </c>
      <c r="E23" s="18">
        <v>3.3881318218065047E+35</v>
      </c>
      <c r="F23" s="18">
        <v>5</v>
      </c>
      <c r="G23" s="27">
        <v>10</v>
      </c>
      <c r="H23" s="145">
        <v>1975</v>
      </c>
      <c r="I23" s="45">
        <f t="shared" si="1"/>
        <v>60</v>
      </c>
      <c r="J23" s="19">
        <v>10</v>
      </c>
    </row>
    <row r="24" spans="1:10" x14ac:dyDescent="0.2">
      <c r="A24" s="20">
        <v>13</v>
      </c>
      <c r="B24" s="12">
        <v>2033</v>
      </c>
      <c r="C24" s="12">
        <v>2.0641589720821761E+32</v>
      </c>
      <c r="D24" s="12">
        <v>7.9057288630747344E+34</v>
      </c>
      <c r="E24" s="12">
        <v>3.4058623039355907E+35</v>
      </c>
      <c r="F24" s="12">
        <v>57</v>
      </c>
      <c r="G24" s="1">
        <v>1</v>
      </c>
      <c r="H24" s="12">
        <v>1975</v>
      </c>
      <c r="I24" s="44">
        <f t="shared" si="1"/>
        <v>58</v>
      </c>
      <c r="J24" s="21">
        <v>1</v>
      </c>
    </row>
    <row r="25" spans="1:10" x14ac:dyDescent="0.2">
      <c r="A25" s="20">
        <v>14</v>
      </c>
      <c r="B25" s="12">
        <v>2032.9999999999472</v>
      </c>
      <c r="C25" s="12">
        <v>2.0641589720824694E+32</v>
      </c>
      <c r="D25" s="12">
        <v>7.9057288630747685E+34</v>
      </c>
      <c r="E25" s="12">
        <v>3.4058623039360747E+35</v>
      </c>
      <c r="F25" s="12">
        <v>579</v>
      </c>
      <c r="G25" s="1">
        <v>0.1</v>
      </c>
      <c r="H25" s="12">
        <v>1975</v>
      </c>
      <c r="I25" s="44">
        <f t="shared" si="1"/>
        <v>57.999999999947249</v>
      </c>
      <c r="J25" s="21">
        <v>0.1</v>
      </c>
    </row>
    <row r="26" spans="1:10" x14ac:dyDescent="0.2">
      <c r="A26" s="20">
        <v>15</v>
      </c>
      <c r="B26" s="12">
        <v>2032.9899999999473</v>
      </c>
      <c r="C26" s="12">
        <v>2.0642128684850544E+32</v>
      </c>
      <c r="D26" s="12">
        <v>7.9057288650098209E+34</v>
      </c>
      <c r="E26" s="12">
        <v>3.4059512330003401E+35</v>
      </c>
      <c r="F26" s="12">
        <v>5798</v>
      </c>
      <c r="G26" s="1">
        <v>0.01</v>
      </c>
      <c r="H26" s="12">
        <v>1975</v>
      </c>
      <c r="I26" s="44">
        <f t="shared" si="1"/>
        <v>57.989999999947258</v>
      </c>
      <c r="J26" s="21">
        <v>0.01</v>
      </c>
    </row>
    <row r="27" spans="1:10" x14ac:dyDescent="0.2">
      <c r="A27" s="20">
        <v>16</v>
      </c>
      <c r="B27" s="12">
        <v>2032.9909999986287</v>
      </c>
      <c r="C27" s="12">
        <v>2.0642074787766455E+32</v>
      </c>
      <c r="D27" s="12">
        <v>7.905728865013156E+34</v>
      </c>
      <c r="E27" s="12">
        <v>3.4059423399814653E+35</v>
      </c>
      <c r="F27" s="12">
        <v>57990</v>
      </c>
      <c r="G27" s="1">
        <v>1E-3</v>
      </c>
      <c r="H27" s="12">
        <v>1975</v>
      </c>
      <c r="I27" s="44">
        <f t="shared" si="1"/>
        <v>57.990999998628695</v>
      </c>
      <c r="J27" s="21">
        <v>1E-3</v>
      </c>
    </row>
    <row r="28" spans="1:10" x14ac:dyDescent="0.2">
      <c r="A28" s="20">
        <v>17</v>
      </c>
      <c r="B28" s="12"/>
      <c r="C28" s="12"/>
      <c r="D28" s="12"/>
      <c r="E28" s="12"/>
      <c r="F28" s="12"/>
      <c r="G28" s="1">
        <v>1E-4</v>
      </c>
      <c r="H28" s="12">
        <v>1975</v>
      </c>
      <c r="I28" s="44">
        <f t="shared" si="1"/>
        <v>1975</v>
      </c>
      <c r="J28" s="21">
        <v>1E-4</v>
      </c>
    </row>
    <row r="29" spans="1:10" x14ac:dyDescent="0.2">
      <c r="A29" s="20">
        <v>18</v>
      </c>
      <c r="B29" s="12"/>
      <c r="C29" s="12"/>
      <c r="D29" s="12"/>
      <c r="E29" s="12"/>
      <c r="F29" s="12"/>
      <c r="G29" s="1">
        <v>1.0000000000000001E-5</v>
      </c>
      <c r="H29" s="12">
        <v>1975</v>
      </c>
      <c r="I29" s="44">
        <f t="shared" si="1"/>
        <v>1975</v>
      </c>
      <c r="J29" s="21">
        <v>1.0000000000000001E-5</v>
      </c>
    </row>
    <row r="30" spans="1:10" x14ac:dyDescent="0.2">
      <c r="A30" s="20">
        <v>19</v>
      </c>
      <c r="B30" s="12"/>
      <c r="C30" s="12"/>
      <c r="D30" s="12"/>
      <c r="E30" s="12"/>
      <c r="F30" s="12"/>
      <c r="G30" s="1">
        <v>9.9999999999999995E-7</v>
      </c>
      <c r="H30" s="12">
        <v>1975</v>
      </c>
      <c r="I30" s="44">
        <f t="shared" si="1"/>
        <v>1975</v>
      </c>
      <c r="J30" s="21">
        <v>9.9999999999999995E-7</v>
      </c>
    </row>
    <row r="31" spans="1:10" x14ac:dyDescent="0.2">
      <c r="A31" s="20">
        <v>20</v>
      </c>
      <c r="B31" s="12"/>
      <c r="C31" s="12"/>
      <c r="D31" s="12"/>
      <c r="E31" s="12"/>
      <c r="F31" s="12"/>
      <c r="G31" s="1">
        <v>9.9999999999999995E-8</v>
      </c>
      <c r="H31" s="12">
        <v>1975</v>
      </c>
      <c r="I31" s="44">
        <f t="shared" si="1"/>
        <v>1975</v>
      </c>
      <c r="J31" s="21">
        <v>9.9999999999999995E-8</v>
      </c>
    </row>
    <row r="32" spans="1:10" x14ac:dyDescent="0.2">
      <c r="A32" s="20">
        <v>21</v>
      </c>
      <c r="B32" s="12"/>
      <c r="C32" s="12"/>
      <c r="D32" s="12"/>
      <c r="E32" s="12"/>
      <c r="F32" s="12"/>
      <c r="G32" s="1">
        <v>1E-8</v>
      </c>
      <c r="H32" s="12">
        <v>1975</v>
      </c>
      <c r="I32" s="44">
        <f t="shared" si="1"/>
        <v>1975</v>
      </c>
      <c r="J32" s="21">
        <v>1E-8</v>
      </c>
    </row>
    <row r="33" spans="1:10" ht="13.5" thickBot="1" x14ac:dyDescent="0.25">
      <c r="A33" s="14">
        <v>22</v>
      </c>
      <c r="B33" s="56"/>
      <c r="C33" s="56"/>
      <c r="D33" s="56"/>
      <c r="E33" s="56"/>
      <c r="F33" s="56"/>
      <c r="G33" s="61">
        <v>1.0000000000000001E-9</v>
      </c>
      <c r="H33" s="16">
        <v>1975</v>
      </c>
      <c r="I33" s="57">
        <f t="shared" si="1"/>
        <v>1975</v>
      </c>
      <c r="J33" s="15">
        <v>1.0000000000000001E-9</v>
      </c>
    </row>
    <row r="34" spans="1:10" x14ac:dyDescent="0.2">
      <c r="A34" s="17">
        <v>23</v>
      </c>
      <c r="B34" s="18">
        <v>2035</v>
      </c>
      <c r="C34" s="18">
        <v>2.0534132253372754E+32</v>
      </c>
      <c r="D34" s="18">
        <v>7.9056409175485098E+34</v>
      </c>
      <c r="E34" s="18">
        <v>3.3881318218065047E+35</v>
      </c>
      <c r="F34" s="18">
        <v>4</v>
      </c>
      <c r="G34" s="27">
        <v>10</v>
      </c>
      <c r="H34" s="145">
        <v>1985</v>
      </c>
      <c r="I34" s="45">
        <f t="shared" si="1"/>
        <v>50</v>
      </c>
      <c r="J34" s="19">
        <v>10</v>
      </c>
    </row>
    <row r="35" spans="1:10" x14ac:dyDescent="0.2">
      <c r="A35" s="20">
        <v>24</v>
      </c>
      <c r="B35" s="12">
        <v>2033</v>
      </c>
      <c r="C35" s="12">
        <v>2.0641589720821761E+32</v>
      </c>
      <c r="D35" s="12">
        <v>7.9057288630747344E+34</v>
      </c>
      <c r="E35" s="12">
        <v>3.4058623039355907E+35</v>
      </c>
      <c r="F35" s="12">
        <v>47</v>
      </c>
      <c r="G35" s="1">
        <v>1</v>
      </c>
      <c r="H35" s="12">
        <v>1985</v>
      </c>
      <c r="I35" s="44">
        <f t="shared" si="1"/>
        <v>48</v>
      </c>
      <c r="J35" s="21">
        <v>1</v>
      </c>
    </row>
    <row r="36" spans="1:10" x14ac:dyDescent="0.2">
      <c r="A36" s="20">
        <v>25</v>
      </c>
      <c r="B36" s="12">
        <v>2032.9999999999563</v>
      </c>
      <c r="C36" s="12">
        <v>2.0641589720824106E+32</v>
      </c>
      <c r="D36" s="12">
        <v>7.9057288630747316E+34</v>
      </c>
      <c r="E36" s="12">
        <v>3.4058623039359773E+35</v>
      </c>
      <c r="F36" s="12">
        <v>479</v>
      </c>
      <c r="G36" s="1">
        <v>0.1</v>
      </c>
      <c r="H36" s="12">
        <v>1985</v>
      </c>
      <c r="I36" s="44">
        <f t="shared" si="1"/>
        <v>47.999999999956344</v>
      </c>
      <c r="J36" s="21">
        <v>0.1</v>
      </c>
    </row>
    <row r="37" spans="1:10" x14ac:dyDescent="0.2">
      <c r="A37" s="20">
        <v>26</v>
      </c>
      <c r="B37" s="12">
        <v>2032.9899999999564</v>
      </c>
      <c r="C37" s="12">
        <v>2.0642128684850105E+32</v>
      </c>
      <c r="D37" s="12">
        <v>7.9057288650098402E+34</v>
      </c>
      <c r="E37" s="12">
        <v>3.405951233000267E+35</v>
      </c>
      <c r="F37" s="12">
        <v>4798</v>
      </c>
      <c r="G37" s="1">
        <v>0.01</v>
      </c>
      <c r="H37" s="12">
        <v>1985</v>
      </c>
      <c r="I37" s="44">
        <f t="shared" si="1"/>
        <v>47.989999999956353</v>
      </c>
      <c r="J37" s="21">
        <v>0.01</v>
      </c>
    </row>
    <row r="38" spans="1:10" x14ac:dyDescent="0.2">
      <c r="A38" s="20">
        <v>27</v>
      </c>
      <c r="B38" s="12">
        <v>2032.9909999988652</v>
      </c>
      <c r="C38" s="12">
        <v>2.0642074787753841E+32</v>
      </c>
      <c r="D38" s="12">
        <v>7.9057288650132058E+34</v>
      </c>
      <c r="E38" s="12">
        <v>3.4059423399793837E+35</v>
      </c>
      <c r="F38" s="12">
        <v>47990</v>
      </c>
      <c r="G38" s="1">
        <v>1E-3</v>
      </c>
      <c r="H38" s="12">
        <v>1985</v>
      </c>
      <c r="I38" s="44">
        <f t="shared" si="1"/>
        <v>47.990999998865163</v>
      </c>
      <c r="J38" s="21">
        <v>1E-3</v>
      </c>
    </row>
    <row r="39" spans="1:10" x14ac:dyDescent="0.2">
      <c r="A39" s="20">
        <v>28</v>
      </c>
      <c r="B39" s="12"/>
      <c r="C39" s="12"/>
      <c r="D39" s="12"/>
      <c r="E39" s="12"/>
      <c r="F39" s="12"/>
      <c r="G39" s="1">
        <v>1E-4</v>
      </c>
      <c r="H39" s="12">
        <v>1985</v>
      </c>
      <c r="I39" s="44">
        <f t="shared" si="1"/>
        <v>1985</v>
      </c>
      <c r="J39" s="21">
        <v>1E-4</v>
      </c>
    </row>
    <row r="40" spans="1:10" x14ac:dyDescent="0.2">
      <c r="A40" s="20">
        <v>29</v>
      </c>
      <c r="B40" s="12"/>
      <c r="C40" s="12"/>
      <c r="D40" s="12"/>
      <c r="E40" s="12"/>
      <c r="F40" s="12"/>
      <c r="G40" s="1">
        <v>1.0000000000000001E-5</v>
      </c>
      <c r="H40" s="12">
        <v>1985</v>
      </c>
      <c r="I40" s="44">
        <f t="shared" si="1"/>
        <v>1985</v>
      </c>
      <c r="J40" s="21">
        <v>1.0000000000000001E-5</v>
      </c>
    </row>
    <row r="41" spans="1:10" x14ac:dyDescent="0.2">
      <c r="A41" s="20">
        <v>30</v>
      </c>
      <c r="B41" s="12"/>
      <c r="C41" s="12"/>
      <c r="D41" s="12"/>
      <c r="E41" s="12"/>
      <c r="F41" s="12"/>
      <c r="G41" s="1">
        <v>9.9999999999999995E-7</v>
      </c>
      <c r="H41" s="12">
        <v>1985</v>
      </c>
      <c r="I41" s="44">
        <f t="shared" si="1"/>
        <v>1985</v>
      </c>
      <c r="J41" s="21">
        <v>9.9999999999999995E-7</v>
      </c>
    </row>
    <row r="42" spans="1:10" x14ac:dyDescent="0.2">
      <c r="A42" s="20">
        <v>31</v>
      </c>
      <c r="B42" s="12"/>
      <c r="C42" s="12"/>
      <c r="D42" s="12"/>
      <c r="E42" s="12"/>
      <c r="F42" s="12"/>
      <c r="G42" s="1">
        <v>9.9999999999999995E-8</v>
      </c>
      <c r="H42" s="12">
        <v>1985</v>
      </c>
      <c r="I42" s="44">
        <f t="shared" si="1"/>
        <v>1985</v>
      </c>
      <c r="J42" s="21">
        <v>9.9999999999999995E-8</v>
      </c>
    </row>
    <row r="43" spans="1:10" x14ac:dyDescent="0.2">
      <c r="A43" s="20">
        <v>32</v>
      </c>
      <c r="B43" s="12"/>
      <c r="C43" s="12"/>
      <c r="D43" s="12"/>
      <c r="E43" s="12"/>
      <c r="F43" s="12"/>
      <c r="G43" s="1">
        <v>1E-8</v>
      </c>
      <c r="H43" s="12">
        <v>1985</v>
      </c>
      <c r="I43" s="44">
        <f t="shared" si="1"/>
        <v>1985</v>
      </c>
      <c r="J43" s="21">
        <v>1E-8</v>
      </c>
    </row>
    <row r="44" spans="1:10" ht="13.5" thickBot="1" x14ac:dyDescent="0.25">
      <c r="A44" s="22">
        <v>33</v>
      </c>
      <c r="B44" s="23"/>
      <c r="C44" s="23"/>
      <c r="D44" s="23"/>
      <c r="E44" s="23"/>
      <c r="F44" s="23"/>
      <c r="G44" s="5">
        <v>1.0000000000000001E-9</v>
      </c>
      <c r="H44" s="23">
        <v>1985</v>
      </c>
      <c r="I44" s="46">
        <f t="shared" si="1"/>
        <v>1985</v>
      </c>
      <c r="J44" s="24">
        <v>1.0000000000000001E-9</v>
      </c>
    </row>
    <row r="45" spans="1:10" x14ac:dyDescent="0.2">
      <c r="A45" s="48">
        <v>34</v>
      </c>
      <c r="B45" s="16">
        <v>2035</v>
      </c>
      <c r="C45" s="16">
        <v>2.0534132253372754E+32</v>
      </c>
      <c r="D45" s="16">
        <v>7.9056409175485098E+34</v>
      </c>
      <c r="E45" s="16">
        <v>3.3881318218065047E+35</v>
      </c>
      <c r="F45" s="16">
        <v>3</v>
      </c>
      <c r="G45" s="60">
        <v>10</v>
      </c>
      <c r="H45" s="16">
        <v>1995</v>
      </c>
      <c r="I45" s="47">
        <f t="shared" si="1"/>
        <v>40</v>
      </c>
      <c r="J45" s="49">
        <v>10</v>
      </c>
    </row>
    <row r="46" spans="1:10" x14ac:dyDescent="0.2">
      <c r="A46" s="20">
        <v>35</v>
      </c>
      <c r="B46" s="12">
        <v>2033</v>
      </c>
      <c r="C46" s="12">
        <v>2.0641589720821761E+32</v>
      </c>
      <c r="D46" s="12">
        <v>7.9057288630747344E+34</v>
      </c>
      <c r="E46" s="12">
        <v>3.4058623039355907E+35</v>
      </c>
      <c r="F46" s="12">
        <v>37</v>
      </c>
      <c r="G46" s="1">
        <v>1</v>
      </c>
      <c r="H46" s="16">
        <v>1995</v>
      </c>
      <c r="I46" s="44">
        <f t="shared" si="1"/>
        <v>38</v>
      </c>
      <c r="J46" s="21">
        <v>1</v>
      </c>
    </row>
    <row r="47" spans="1:10" x14ac:dyDescent="0.2">
      <c r="A47" s="20">
        <v>36</v>
      </c>
      <c r="B47" s="12">
        <v>2032.9999999999654</v>
      </c>
      <c r="C47" s="12">
        <v>2.0641589720823667E+32</v>
      </c>
      <c r="D47" s="12">
        <v>7.905728863074751E+34</v>
      </c>
      <c r="E47" s="12">
        <v>3.405862303935905E+35</v>
      </c>
      <c r="F47" s="12">
        <v>379</v>
      </c>
      <c r="G47" s="1">
        <v>0.1</v>
      </c>
      <c r="H47" s="16">
        <v>1995</v>
      </c>
      <c r="I47" s="44">
        <f t="shared" si="1"/>
        <v>37.999999999965439</v>
      </c>
      <c r="J47" s="21">
        <v>0.1</v>
      </c>
    </row>
    <row r="48" spans="1:10" x14ac:dyDescent="0.2">
      <c r="A48" s="20">
        <v>37</v>
      </c>
      <c r="B48" s="12">
        <v>2032.9899999999654</v>
      </c>
      <c r="C48" s="12">
        <v>2.0642128684849665E+32</v>
      </c>
      <c r="D48" s="12">
        <v>7.9057288650098596E+34</v>
      </c>
      <c r="E48" s="12">
        <v>3.4059512330001947E+35</v>
      </c>
      <c r="F48" s="12">
        <v>3798</v>
      </c>
      <c r="G48" s="1">
        <v>0.01</v>
      </c>
      <c r="H48" s="16">
        <v>1995</v>
      </c>
      <c r="I48" s="44">
        <f t="shared" si="1"/>
        <v>37.989999999965448</v>
      </c>
      <c r="J48" s="21">
        <v>0.01</v>
      </c>
    </row>
    <row r="49" spans="1:16" x14ac:dyDescent="0.2">
      <c r="A49" s="20">
        <v>38</v>
      </c>
      <c r="B49" s="12">
        <v>2032.9909999991016</v>
      </c>
      <c r="C49" s="12">
        <v>2.0642074787740932E+32</v>
      </c>
      <c r="D49" s="12">
        <v>7.9057288650131431E+34</v>
      </c>
      <c r="E49" s="12">
        <v>3.4059423399772535E+35</v>
      </c>
      <c r="F49" s="12">
        <v>37990</v>
      </c>
      <c r="G49" s="1">
        <v>1E-3</v>
      </c>
      <c r="H49" s="16">
        <v>1995</v>
      </c>
      <c r="I49" s="44">
        <f t="shared" si="1"/>
        <v>37.990999999101632</v>
      </c>
      <c r="J49" s="21">
        <v>1E-3</v>
      </c>
    </row>
    <row r="50" spans="1:16" x14ac:dyDescent="0.2">
      <c r="A50" s="20">
        <v>39</v>
      </c>
      <c r="B50" s="12"/>
      <c r="C50" s="12"/>
      <c r="D50" s="12"/>
      <c r="E50" s="12"/>
      <c r="F50" s="12"/>
      <c r="G50" s="1">
        <v>1E-4</v>
      </c>
      <c r="H50" s="16">
        <v>1995</v>
      </c>
      <c r="I50" s="44">
        <f t="shared" si="1"/>
        <v>1995</v>
      </c>
      <c r="J50" s="21">
        <v>1E-4</v>
      </c>
      <c r="P50" s="2"/>
    </row>
    <row r="51" spans="1:16" x14ac:dyDescent="0.2">
      <c r="A51" s="20">
        <v>40</v>
      </c>
      <c r="B51" s="12"/>
      <c r="C51" s="12"/>
      <c r="D51" s="12"/>
      <c r="E51" s="12"/>
      <c r="F51" s="12"/>
      <c r="G51" s="1">
        <v>1.0000000000000001E-5</v>
      </c>
      <c r="H51" s="16">
        <v>1995</v>
      </c>
      <c r="I51" s="44">
        <f t="shared" si="1"/>
        <v>1995</v>
      </c>
      <c r="J51" s="21">
        <v>1.0000000000000001E-5</v>
      </c>
    </row>
    <row r="52" spans="1:16" x14ac:dyDescent="0.2">
      <c r="A52" s="20">
        <v>41</v>
      </c>
      <c r="B52" s="12"/>
      <c r="C52" s="12"/>
      <c r="D52" s="12"/>
      <c r="E52" s="12"/>
      <c r="F52" s="12"/>
      <c r="G52" s="1">
        <v>9.9999999999999995E-7</v>
      </c>
      <c r="H52" s="16">
        <v>1995</v>
      </c>
      <c r="I52" s="44">
        <f t="shared" si="1"/>
        <v>1995</v>
      </c>
      <c r="J52" s="21">
        <v>9.9999999999999995E-7</v>
      </c>
    </row>
    <row r="53" spans="1:16" x14ac:dyDescent="0.2">
      <c r="A53" s="20">
        <v>42</v>
      </c>
      <c r="B53" s="12"/>
      <c r="C53" s="12"/>
      <c r="D53" s="12"/>
      <c r="E53" s="12"/>
      <c r="F53" s="12"/>
      <c r="G53" s="1">
        <v>9.9999999999999995E-8</v>
      </c>
      <c r="H53" s="16">
        <v>1995</v>
      </c>
      <c r="I53" s="44">
        <f t="shared" si="1"/>
        <v>1995</v>
      </c>
      <c r="J53" s="21">
        <v>9.9999999999999995E-8</v>
      </c>
    </row>
    <row r="54" spans="1:16" x14ac:dyDescent="0.2">
      <c r="A54" s="20">
        <v>43</v>
      </c>
      <c r="B54" s="12"/>
      <c r="C54" s="12"/>
      <c r="D54" s="12"/>
      <c r="E54" s="12"/>
      <c r="F54" s="12"/>
      <c r="G54" s="1">
        <v>1E-8</v>
      </c>
      <c r="H54" s="16">
        <v>1995</v>
      </c>
      <c r="I54" s="44">
        <f t="shared" si="1"/>
        <v>1995</v>
      </c>
      <c r="J54" s="21">
        <v>1E-8</v>
      </c>
    </row>
    <row r="55" spans="1:16" ht="13.5" thickBot="1" x14ac:dyDescent="0.25">
      <c r="A55" s="14">
        <v>44</v>
      </c>
      <c r="B55" s="56"/>
      <c r="C55" s="56"/>
      <c r="D55" s="56"/>
      <c r="E55" s="56"/>
      <c r="F55" s="56"/>
      <c r="G55" s="61">
        <v>1.0000000000000001E-9</v>
      </c>
      <c r="H55" s="16">
        <v>1995</v>
      </c>
      <c r="I55" s="57">
        <f t="shared" si="1"/>
        <v>1995</v>
      </c>
      <c r="J55" s="15">
        <v>1.0000000000000001E-9</v>
      </c>
    </row>
    <row r="56" spans="1:16" x14ac:dyDescent="0.2">
      <c r="A56" s="17">
        <v>45</v>
      </c>
      <c r="B56" s="18">
        <v>2035</v>
      </c>
      <c r="C56" s="18">
        <v>2.0534132253372754E+32</v>
      </c>
      <c r="D56" s="18">
        <v>7.9056409175485098E+34</v>
      </c>
      <c r="E56" s="18">
        <v>3.3881318218065047E+35</v>
      </c>
      <c r="F56" s="18">
        <v>2</v>
      </c>
      <c r="G56" s="27">
        <v>10</v>
      </c>
      <c r="H56" s="145">
        <v>2005</v>
      </c>
      <c r="I56" s="45">
        <f t="shared" si="1"/>
        <v>30</v>
      </c>
      <c r="J56" s="19">
        <v>10</v>
      </c>
    </row>
    <row r="57" spans="1:16" x14ac:dyDescent="0.2">
      <c r="A57" s="20">
        <v>46</v>
      </c>
      <c r="B57" s="12">
        <v>2033</v>
      </c>
      <c r="C57" s="12">
        <v>2.0641589720821761E+32</v>
      </c>
      <c r="D57" s="12">
        <v>7.9057288630747344E+34</v>
      </c>
      <c r="E57" s="12">
        <v>3.4058623039355907E+35</v>
      </c>
      <c r="F57" s="12">
        <v>27</v>
      </c>
      <c r="G57" s="1">
        <v>1</v>
      </c>
      <c r="H57" s="12">
        <v>2005</v>
      </c>
      <c r="I57" s="44">
        <f t="shared" si="1"/>
        <v>28</v>
      </c>
      <c r="J57" s="21">
        <v>1</v>
      </c>
    </row>
    <row r="58" spans="1:16" x14ac:dyDescent="0.2">
      <c r="A58" s="20">
        <v>47</v>
      </c>
      <c r="B58" s="12">
        <v>2032.9999999999745</v>
      </c>
      <c r="C58" s="12">
        <v>2.064158972082308E+32</v>
      </c>
      <c r="D58" s="12">
        <v>7.9057288630747141E+34</v>
      </c>
      <c r="E58" s="12">
        <v>3.4058623039358083E+35</v>
      </c>
      <c r="F58" s="12">
        <v>279</v>
      </c>
      <c r="G58" s="1">
        <v>0.1</v>
      </c>
      <c r="H58" s="12">
        <v>2005</v>
      </c>
      <c r="I58" s="44">
        <f t="shared" si="1"/>
        <v>27.999999999974534</v>
      </c>
      <c r="J58" s="21">
        <v>0.1</v>
      </c>
    </row>
    <row r="59" spans="1:16" x14ac:dyDescent="0.2">
      <c r="A59" s="20">
        <v>48</v>
      </c>
      <c r="B59" s="12">
        <v>2032.9899999999745</v>
      </c>
      <c r="C59" s="12">
        <v>2.0642128684849222E+32</v>
      </c>
      <c r="D59" s="12">
        <v>7.905728865009878E+34</v>
      </c>
      <c r="E59" s="12">
        <v>3.4059512330001217E+35</v>
      </c>
      <c r="F59" s="12">
        <v>2798</v>
      </c>
      <c r="G59" s="1">
        <v>0.01</v>
      </c>
      <c r="H59" s="12">
        <v>2005</v>
      </c>
      <c r="I59" s="44">
        <f t="shared" si="1"/>
        <v>27.989999999974543</v>
      </c>
      <c r="J59" s="21">
        <v>0.01</v>
      </c>
    </row>
    <row r="60" spans="1:16" x14ac:dyDescent="0.2">
      <c r="A60" s="20">
        <v>49</v>
      </c>
      <c r="B60" s="12">
        <v>2032.9909999993381</v>
      </c>
      <c r="C60" s="12">
        <v>2.0642074787728322E+32</v>
      </c>
      <c r="D60" s="12">
        <v>7.9057288650131948E+34</v>
      </c>
      <c r="E60" s="12">
        <v>3.4059423399751735E+35</v>
      </c>
      <c r="F60" s="12">
        <v>27990</v>
      </c>
      <c r="G60" s="1">
        <v>1E-3</v>
      </c>
      <c r="H60" s="12">
        <v>2005</v>
      </c>
      <c r="I60" s="44">
        <f t="shared" si="1"/>
        <v>27.990999999338101</v>
      </c>
      <c r="J60" s="21">
        <v>1E-3</v>
      </c>
    </row>
    <row r="61" spans="1:16" x14ac:dyDescent="0.2">
      <c r="A61" s="20">
        <v>50</v>
      </c>
      <c r="B61" s="12"/>
      <c r="C61" s="12"/>
      <c r="D61" s="12"/>
      <c r="E61" s="12"/>
      <c r="F61" s="12"/>
      <c r="G61" s="1">
        <v>1E-4</v>
      </c>
      <c r="H61" s="12">
        <v>2005</v>
      </c>
      <c r="I61" s="44">
        <f t="shared" si="1"/>
        <v>2005</v>
      </c>
      <c r="J61" s="21">
        <v>1E-4</v>
      </c>
    </row>
    <row r="62" spans="1:16" x14ac:dyDescent="0.2">
      <c r="A62" s="20">
        <v>51</v>
      </c>
      <c r="B62" s="12"/>
      <c r="C62" s="12"/>
      <c r="D62" s="12"/>
      <c r="E62" s="12"/>
      <c r="F62" s="12"/>
      <c r="G62" s="1">
        <v>1.0000000000000001E-5</v>
      </c>
      <c r="H62" s="12">
        <v>2005</v>
      </c>
      <c r="I62" s="44">
        <f t="shared" si="1"/>
        <v>2005</v>
      </c>
      <c r="J62" s="21">
        <v>1.0000000000000001E-5</v>
      </c>
    </row>
    <row r="63" spans="1:16" x14ac:dyDescent="0.2">
      <c r="A63" s="20">
        <v>52</v>
      </c>
      <c r="B63" s="12"/>
      <c r="C63" s="12"/>
      <c r="D63" s="12"/>
      <c r="E63" s="12"/>
      <c r="F63" s="12"/>
      <c r="G63" s="1">
        <v>9.9999999999999995E-7</v>
      </c>
      <c r="H63" s="12">
        <v>2005</v>
      </c>
      <c r="I63" s="44">
        <f t="shared" si="1"/>
        <v>2005</v>
      </c>
      <c r="J63" s="21">
        <v>9.9999999999999995E-7</v>
      </c>
    </row>
    <row r="64" spans="1:16" x14ac:dyDescent="0.2">
      <c r="A64" s="20">
        <v>53</v>
      </c>
      <c r="B64" s="12"/>
      <c r="C64" s="12"/>
      <c r="D64" s="12"/>
      <c r="E64" s="12"/>
      <c r="F64" s="12"/>
      <c r="G64" s="1">
        <v>9.9999999999999995E-8</v>
      </c>
      <c r="H64" s="12">
        <v>2005</v>
      </c>
      <c r="I64" s="44">
        <f t="shared" si="1"/>
        <v>2005</v>
      </c>
      <c r="J64" s="21">
        <v>9.9999999999999995E-8</v>
      </c>
    </row>
    <row r="65" spans="1:10" x14ac:dyDescent="0.2">
      <c r="A65" s="20">
        <v>54</v>
      </c>
      <c r="B65" s="12"/>
      <c r="C65" s="12"/>
      <c r="D65" s="12"/>
      <c r="E65" s="12"/>
      <c r="F65" s="12"/>
      <c r="G65" s="1">
        <v>1E-8</v>
      </c>
      <c r="H65" s="12">
        <v>2005</v>
      </c>
      <c r="I65" s="44">
        <f t="shared" si="1"/>
        <v>2005</v>
      </c>
      <c r="J65" s="21">
        <v>1E-8</v>
      </c>
    </row>
    <row r="66" spans="1:10" ht="13.5" thickBot="1" x14ac:dyDescent="0.25">
      <c r="A66" s="22">
        <v>55</v>
      </c>
      <c r="B66" s="23"/>
      <c r="C66" s="23"/>
      <c r="D66" s="23"/>
      <c r="E66" s="23"/>
      <c r="F66" s="23"/>
      <c r="G66" s="5">
        <v>1.0000000000000001E-9</v>
      </c>
      <c r="H66" s="150">
        <v>2005</v>
      </c>
      <c r="I66" s="46">
        <f t="shared" si="1"/>
        <v>2005</v>
      </c>
      <c r="J66" s="24">
        <v>1.0000000000000001E-9</v>
      </c>
    </row>
    <row r="69" spans="1:10" ht="13.5" thickBot="1" x14ac:dyDescent="0.25">
      <c r="A69" s="2" t="s">
        <v>116</v>
      </c>
      <c r="B69" s="2"/>
      <c r="C69" s="2"/>
      <c r="D69" s="2"/>
      <c r="E69" s="2"/>
    </row>
    <row r="70" spans="1:10" ht="34.5" thickBot="1" x14ac:dyDescent="0.25">
      <c r="A70" s="62" t="s">
        <v>4</v>
      </c>
      <c r="B70" s="63" t="s">
        <v>5</v>
      </c>
      <c r="C70" s="63" t="s">
        <v>8</v>
      </c>
      <c r="D70" s="63" t="s">
        <v>6</v>
      </c>
      <c r="E70" s="63" t="s">
        <v>9</v>
      </c>
      <c r="F70" s="63" t="s">
        <v>12</v>
      </c>
      <c r="G70" s="63" t="s">
        <v>13</v>
      </c>
      <c r="H70" s="63" t="s">
        <v>7</v>
      </c>
      <c r="I70" s="63" t="s">
        <v>47</v>
      </c>
      <c r="J70" s="149" t="s">
        <v>15</v>
      </c>
    </row>
    <row r="71" spans="1:10" x14ac:dyDescent="0.2">
      <c r="A71" s="17">
        <v>1</v>
      </c>
      <c r="B71" s="145">
        <v>2035</v>
      </c>
      <c r="C71" s="145">
        <v>2.0534132253372754E+32</v>
      </c>
      <c r="D71" s="145">
        <v>7.9056409175485098E+34</v>
      </c>
      <c r="E71" s="145">
        <v>3.3881318218065047E+35</v>
      </c>
      <c r="F71" s="18">
        <v>6</v>
      </c>
      <c r="G71" s="18">
        <v>10</v>
      </c>
      <c r="H71" s="145">
        <v>1965</v>
      </c>
      <c r="I71" s="45">
        <v>70</v>
      </c>
      <c r="J71" s="19">
        <v>10</v>
      </c>
    </row>
    <row r="72" spans="1:10" x14ac:dyDescent="0.2">
      <c r="A72" s="20">
        <v>2</v>
      </c>
      <c r="B72" s="12">
        <v>2035</v>
      </c>
      <c r="C72" s="12">
        <v>2.0534132253372754E+32</v>
      </c>
      <c r="D72" s="12">
        <v>7.9056409175485098E+34</v>
      </c>
      <c r="E72" s="12">
        <v>3.3881318218065047E+35</v>
      </c>
      <c r="F72" s="12">
        <v>5</v>
      </c>
      <c r="G72" s="12">
        <v>10</v>
      </c>
      <c r="H72" s="12">
        <v>1975</v>
      </c>
      <c r="I72" s="44">
        <v>60</v>
      </c>
      <c r="J72" s="21">
        <v>10</v>
      </c>
    </row>
    <row r="73" spans="1:10" x14ac:dyDescent="0.2">
      <c r="A73" s="20">
        <v>3</v>
      </c>
      <c r="B73" s="12">
        <v>2035</v>
      </c>
      <c r="C73" s="12">
        <v>2.0534132253372754E+32</v>
      </c>
      <c r="D73" s="12">
        <v>7.9056409175485098E+34</v>
      </c>
      <c r="E73" s="12">
        <v>3.3881318218065047E+35</v>
      </c>
      <c r="F73" s="12">
        <v>4</v>
      </c>
      <c r="G73" s="12">
        <v>10</v>
      </c>
      <c r="H73" s="12">
        <v>1985</v>
      </c>
      <c r="I73" s="44">
        <v>50</v>
      </c>
      <c r="J73" s="21">
        <v>10</v>
      </c>
    </row>
    <row r="74" spans="1:10" x14ac:dyDescent="0.2">
      <c r="A74" s="20">
        <v>4</v>
      </c>
      <c r="B74" s="12">
        <v>2035</v>
      </c>
      <c r="C74" s="12">
        <v>2.0534132253372754E+32</v>
      </c>
      <c r="D74" s="12">
        <v>7.9056409175485098E+34</v>
      </c>
      <c r="E74" s="12">
        <v>3.3881318218065047E+35</v>
      </c>
      <c r="F74" s="12">
        <v>3</v>
      </c>
      <c r="G74" s="12">
        <v>10</v>
      </c>
      <c r="H74" s="12">
        <v>1995</v>
      </c>
      <c r="I74" s="44">
        <v>40</v>
      </c>
      <c r="J74" s="21">
        <v>10</v>
      </c>
    </row>
    <row r="75" spans="1:10" x14ac:dyDescent="0.2">
      <c r="A75" s="20">
        <v>5</v>
      </c>
      <c r="B75" s="12">
        <v>2035</v>
      </c>
      <c r="C75" s="16">
        <v>2.0534132253372754E+32</v>
      </c>
      <c r="D75" s="16">
        <v>7.9056409175485098E+34</v>
      </c>
      <c r="E75" s="16">
        <v>3.3881318218065047E+35</v>
      </c>
      <c r="F75" s="12">
        <v>2</v>
      </c>
      <c r="G75" s="12">
        <v>10</v>
      </c>
      <c r="H75" s="12">
        <v>2005</v>
      </c>
      <c r="I75" s="44">
        <v>30</v>
      </c>
      <c r="J75" s="21">
        <v>10</v>
      </c>
    </row>
    <row r="76" spans="1:10" ht="13.5" thickBot="1" x14ac:dyDescent="0.25">
      <c r="A76" s="48"/>
      <c r="B76" s="16"/>
      <c r="C76" s="16"/>
      <c r="D76" s="16"/>
      <c r="E76" s="16"/>
      <c r="F76" s="16"/>
      <c r="G76" s="16"/>
      <c r="H76" s="16"/>
      <c r="I76" s="47"/>
      <c r="J76" s="49"/>
    </row>
    <row r="77" spans="1:10" x14ac:dyDescent="0.2">
      <c r="A77" s="17">
        <v>1</v>
      </c>
      <c r="B77" s="18">
        <v>2105</v>
      </c>
      <c r="C77" s="18">
        <v>3.9832146658880575E+31</v>
      </c>
      <c r="D77" s="18">
        <v>1.5335376463669021E+34</v>
      </c>
      <c r="E77" s="18">
        <v>6.8511292253274589E+34</v>
      </c>
      <c r="F77" s="18">
        <v>64</v>
      </c>
      <c r="G77" s="18">
        <v>1</v>
      </c>
      <c r="H77" s="18">
        <v>2040</v>
      </c>
      <c r="I77" s="45">
        <v>1975.3391880993613</v>
      </c>
      <c r="J77" s="19">
        <v>1</v>
      </c>
    </row>
    <row r="78" spans="1:10" x14ac:dyDescent="0.2">
      <c r="A78" s="20">
        <v>2</v>
      </c>
      <c r="B78" s="12">
        <v>2105</v>
      </c>
      <c r="C78" s="12">
        <v>3.9832146658880575E+31</v>
      </c>
      <c r="D78" s="12">
        <v>1.5335376463669021E+34</v>
      </c>
      <c r="E78" s="12">
        <v>6.8511292253274589E+34</v>
      </c>
      <c r="F78" s="12">
        <v>54</v>
      </c>
      <c r="G78" s="12">
        <v>1</v>
      </c>
      <c r="H78" s="12">
        <v>2050</v>
      </c>
      <c r="I78" s="44">
        <v>1985.3391880993613</v>
      </c>
      <c r="J78" s="21">
        <v>1</v>
      </c>
    </row>
    <row r="79" spans="1:10" x14ac:dyDescent="0.2">
      <c r="A79" s="20">
        <v>3</v>
      </c>
      <c r="B79" s="12">
        <v>2105</v>
      </c>
      <c r="C79" s="12">
        <v>3.9832146658880575E+31</v>
      </c>
      <c r="D79" s="12">
        <v>1.5335376463669021E+34</v>
      </c>
      <c r="E79" s="12">
        <v>6.8511292253274589E+34</v>
      </c>
      <c r="F79" s="12">
        <v>44</v>
      </c>
      <c r="G79" s="12">
        <v>1</v>
      </c>
      <c r="H79" s="12">
        <v>2060</v>
      </c>
      <c r="I79" s="44">
        <v>1995.3391880993613</v>
      </c>
      <c r="J79" s="21">
        <v>1</v>
      </c>
    </row>
    <row r="80" spans="1:10" x14ac:dyDescent="0.2">
      <c r="A80" s="20">
        <v>4</v>
      </c>
      <c r="B80" s="12">
        <v>2105</v>
      </c>
      <c r="C80" s="12">
        <v>3.9832146658880575E+31</v>
      </c>
      <c r="D80" s="12">
        <v>1.5335376463669021E+34</v>
      </c>
      <c r="E80" s="12">
        <v>6.8511292253274589E+34</v>
      </c>
      <c r="F80" s="12">
        <v>34</v>
      </c>
      <c r="G80" s="12">
        <v>1</v>
      </c>
      <c r="H80" s="12">
        <v>2070</v>
      </c>
      <c r="I80" s="44">
        <v>2005.3391880993613</v>
      </c>
      <c r="J80" s="21">
        <v>1</v>
      </c>
    </row>
    <row r="81" spans="1:10" x14ac:dyDescent="0.2">
      <c r="A81" s="20">
        <v>5</v>
      </c>
      <c r="B81" s="12">
        <v>2105</v>
      </c>
      <c r="C81" s="12">
        <v>3.9832146658880575E+31</v>
      </c>
      <c r="D81" s="12">
        <v>1.5335376463669021E+34</v>
      </c>
      <c r="E81" s="12">
        <v>6.8511292253274589E+34</v>
      </c>
      <c r="F81" s="12">
        <v>24</v>
      </c>
      <c r="G81" s="12">
        <v>1</v>
      </c>
      <c r="H81" s="12">
        <v>2080</v>
      </c>
      <c r="I81" s="44">
        <v>2015.3391880993613</v>
      </c>
      <c r="J81" s="21">
        <v>1</v>
      </c>
    </row>
    <row r="82" spans="1:10" x14ac:dyDescent="0.2">
      <c r="A82" s="20">
        <v>6</v>
      </c>
      <c r="B82" s="12"/>
      <c r="C82" s="12"/>
      <c r="D82" s="12"/>
      <c r="E82" s="12"/>
      <c r="F82" s="12"/>
      <c r="G82" s="12">
        <v>1</v>
      </c>
      <c r="H82" s="12">
        <v>800</v>
      </c>
      <c r="I82" s="44">
        <v>772.17826656891248</v>
      </c>
      <c r="J82" s="21">
        <v>1</v>
      </c>
    </row>
    <row r="83" spans="1:10" x14ac:dyDescent="0.2">
      <c r="A83" s="20">
        <v>7</v>
      </c>
      <c r="B83" s="12"/>
      <c r="C83" s="12"/>
      <c r="D83" s="12"/>
      <c r="E83" s="12"/>
      <c r="F83" s="12"/>
      <c r="G83" s="12">
        <v>1</v>
      </c>
      <c r="H83" s="12">
        <v>850</v>
      </c>
      <c r="I83" s="44">
        <v>822.17826656891248</v>
      </c>
      <c r="J83" s="21">
        <v>1</v>
      </c>
    </row>
    <row r="84" spans="1:10" x14ac:dyDescent="0.2">
      <c r="A84" s="20">
        <v>8</v>
      </c>
      <c r="B84" s="12"/>
      <c r="C84" s="12"/>
      <c r="D84" s="12"/>
      <c r="E84" s="12"/>
      <c r="F84" s="12"/>
      <c r="G84" s="12">
        <v>1</v>
      </c>
      <c r="H84" s="12">
        <v>900</v>
      </c>
      <c r="I84" s="44">
        <v>872.17826656891248</v>
      </c>
      <c r="J84" s="21">
        <v>1</v>
      </c>
    </row>
    <row r="85" spans="1:10" ht="13.5" thickBot="1" x14ac:dyDescent="0.25">
      <c r="A85" s="22">
        <v>9</v>
      </c>
      <c r="B85" s="23"/>
      <c r="C85" s="23"/>
      <c r="D85" s="23"/>
      <c r="E85" s="23"/>
      <c r="F85" s="23"/>
      <c r="G85" s="23">
        <v>1</v>
      </c>
      <c r="H85" s="23">
        <v>950</v>
      </c>
      <c r="I85" s="46">
        <v>922.17826656891248</v>
      </c>
      <c r="J85" s="24">
        <v>1</v>
      </c>
    </row>
    <row r="86" spans="1:10" x14ac:dyDescent="0.2">
      <c r="A86" s="17">
        <v>1</v>
      </c>
      <c r="B86" s="18">
        <v>2105.2999999999406</v>
      </c>
      <c r="C86" s="18">
        <v>3.9801145226758316E+31</v>
      </c>
      <c r="D86" s="18">
        <v>1.5335381255867616E+34</v>
      </c>
      <c r="E86" s="18">
        <v>6.8457969790024302E+34</v>
      </c>
      <c r="F86" s="18">
        <v>652</v>
      </c>
      <c r="G86" s="18">
        <v>0.1</v>
      </c>
      <c r="H86" s="18">
        <v>2040</v>
      </c>
      <c r="I86" s="45">
        <v>1975.3391880993613</v>
      </c>
      <c r="J86" s="19">
        <v>0.1</v>
      </c>
    </row>
    <row r="87" spans="1:10" x14ac:dyDescent="0.2">
      <c r="A87" s="20">
        <v>2</v>
      </c>
      <c r="B87" s="12">
        <v>2105.2999999999497</v>
      </c>
      <c r="C87" s="12">
        <v>3.9801145226757461E+31</v>
      </c>
      <c r="D87" s="12">
        <v>1.5335381255867648E+34</v>
      </c>
      <c r="E87" s="12">
        <v>6.8457969790022835E+34</v>
      </c>
      <c r="F87" s="12">
        <v>552</v>
      </c>
      <c r="G87" s="12">
        <v>0.1</v>
      </c>
      <c r="H87" s="12">
        <v>2050</v>
      </c>
      <c r="I87" s="44">
        <v>1985.3391880993613</v>
      </c>
      <c r="J87" s="21">
        <v>0.1</v>
      </c>
    </row>
    <row r="88" spans="1:10" x14ac:dyDescent="0.2">
      <c r="A88" s="20">
        <v>3</v>
      </c>
      <c r="B88" s="12">
        <v>2105.2999999999588</v>
      </c>
      <c r="C88" s="12">
        <v>3.9801145226756335E+31</v>
      </c>
      <c r="D88" s="12">
        <v>1.5335381255867577E+34</v>
      </c>
      <c r="E88" s="12">
        <v>6.8457969790020899E+34</v>
      </c>
      <c r="F88" s="12">
        <v>452</v>
      </c>
      <c r="G88" s="12">
        <v>0.1</v>
      </c>
      <c r="H88" s="12">
        <v>2060</v>
      </c>
      <c r="I88" s="44">
        <v>1995.3391880993613</v>
      </c>
      <c r="J88" s="21">
        <v>0.1</v>
      </c>
    </row>
    <row r="89" spans="1:10" x14ac:dyDescent="0.2">
      <c r="A89" s="20">
        <v>4</v>
      </c>
      <c r="B89" s="12">
        <v>2105.2999999999679</v>
      </c>
      <c r="C89" s="12">
        <v>3.9801145226755488E+31</v>
      </c>
      <c r="D89" s="12">
        <v>1.5335381255867611E+34</v>
      </c>
      <c r="E89" s="12">
        <v>6.8457969790019441E+34</v>
      </c>
      <c r="F89" s="12">
        <v>352</v>
      </c>
      <c r="G89" s="12">
        <v>0.1</v>
      </c>
      <c r="H89" s="12">
        <v>2070</v>
      </c>
      <c r="I89" s="44">
        <v>2005.3391880993613</v>
      </c>
      <c r="J89" s="21">
        <v>0.1</v>
      </c>
    </row>
    <row r="90" spans="1:10" x14ac:dyDescent="0.2">
      <c r="A90" s="20">
        <v>5</v>
      </c>
      <c r="B90" s="12">
        <v>2105.299999999977</v>
      </c>
      <c r="C90" s="12">
        <v>3.9801145226754353E+31</v>
      </c>
      <c r="D90" s="12">
        <v>1.5335381255867538E+34</v>
      </c>
      <c r="E90" s="12">
        <v>6.8457969790017486E+34</v>
      </c>
      <c r="F90" s="12">
        <v>252</v>
      </c>
      <c r="G90" s="12">
        <v>0.1</v>
      </c>
      <c r="H90" s="12">
        <v>2080</v>
      </c>
      <c r="I90" s="44">
        <v>2015.3391880993613</v>
      </c>
      <c r="J90" s="21">
        <v>0.1</v>
      </c>
    </row>
    <row r="91" spans="1:10" x14ac:dyDescent="0.2">
      <c r="A91" s="20">
        <v>6</v>
      </c>
      <c r="B91" s="12"/>
      <c r="C91" s="12"/>
      <c r="D91" s="12"/>
      <c r="E91" s="12"/>
      <c r="F91" s="12"/>
      <c r="G91" s="12">
        <v>0.1</v>
      </c>
      <c r="H91" s="12">
        <v>800</v>
      </c>
      <c r="I91" s="44">
        <v>772.17826656891248</v>
      </c>
      <c r="J91" s="21">
        <v>0.1</v>
      </c>
    </row>
    <row r="92" spans="1:10" x14ac:dyDescent="0.2">
      <c r="A92" s="20">
        <v>7</v>
      </c>
      <c r="B92" s="12"/>
      <c r="C92" s="12"/>
      <c r="D92" s="12"/>
      <c r="E92" s="12"/>
      <c r="F92" s="12"/>
      <c r="G92" s="12">
        <v>0.1</v>
      </c>
      <c r="H92" s="12">
        <v>850</v>
      </c>
      <c r="I92" s="44">
        <v>822.17826656891248</v>
      </c>
      <c r="J92" s="21">
        <v>0.1</v>
      </c>
    </row>
    <row r="93" spans="1:10" x14ac:dyDescent="0.2">
      <c r="A93" s="20">
        <v>8</v>
      </c>
      <c r="B93" s="12"/>
      <c r="C93" s="12"/>
      <c r="D93" s="12"/>
      <c r="E93" s="12"/>
      <c r="F93" s="12"/>
      <c r="G93" s="12">
        <v>0.1</v>
      </c>
      <c r="H93" s="12">
        <v>900</v>
      </c>
      <c r="I93" s="44">
        <v>872.17826656891248</v>
      </c>
      <c r="J93" s="21">
        <v>0.1</v>
      </c>
    </row>
    <row r="94" spans="1:10" ht="13.5" thickBot="1" x14ac:dyDescent="0.25">
      <c r="A94" s="22">
        <v>9</v>
      </c>
      <c r="B94" s="23"/>
      <c r="C94" s="23"/>
      <c r="D94" s="23"/>
      <c r="E94" s="23"/>
      <c r="F94" s="23"/>
      <c r="G94" s="23">
        <v>0.1</v>
      </c>
      <c r="H94" s="23">
        <v>950</v>
      </c>
      <c r="I94" s="46">
        <v>922.17826656891248</v>
      </c>
      <c r="J94" s="24">
        <v>0.1</v>
      </c>
    </row>
    <row r="95" spans="1:10" x14ac:dyDescent="0.2">
      <c r="A95" s="17">
        <v>1</v>
      </c>
      <c r="B95" s="18">
        <v>2105.3400000012443</v>
      </c>
      <c r="C95" s="18">
        <v>3.9797013859405501E+31</v>
      </c>
      <c r="D95" s="18">
        <v>1.5335381320632836E+34</v>
      </c>
      <c r="E95" s="18">
        <v>6.8450863838177463E+34</v>
      </c>
      <c r="F95" s="18">
        <v>6533</v>
      </c>
      <c r="G95" s="18">
        <v>0.01</v>
      </c>
      <c r="H95" s="18">
        <v>2040</v>
      </c>
      <c r="I95" s="45">
        <v>1975.3391880993613</v>
      </c>
      <c r="J95" s="19">
        <v>0.01</v>
      </c>
    </row>
    <row r="96" spans="1:10" x14ac:dyDescent="0.2">
      <c r="A96" s="20">
        <v>2</v>
      </c>
      <c r="B96" s="12">
        <v>2105.340000001208</v>
      </c>
      <c r="C96" s="12">
        <v>3.9797013859408893E+31</v>
      </c>
      <c r="D96" s="12">
        <v>1.5335381320632695E+34</v>
      </c>
      <c r="E96" s="12">
        <v>6.8450863838183292E+34</v>
      </c>
      <c r="F96" s="12">
        <v>5533</v>
      </c>
      <c r="G96" s="12">
        <v>0.01</v>
      </c>
      <c r="H96" s="12">
        <v>2050</v>
      </c>
      <c r="I96" s="44">
        <v>1985.3391880993613</v>
      </c>
      <c r="J96" s="21">
        <v>0.01</v>
      </c>
    </row>
    <row r="97" spans="1:10" x14ac:dyDescent="0.2">
      <c r="A97" s="20">
        <v>3</v>
      </c>
      <c r="B97" s="12">
        <v>2105.3400000009897</v>
      </c>
      <c r="C97" s="12">
        <v>3.9797013859431802E+31</v>
      </c>
      <c r="D97" s="12">
        <v>1.5335381320632836E+34</v>
      </c>
      <c r="E97" s="12">
        <v>6.8450863838222704E+34</v>
      </c>
      <c r="F97" s="12">
        <v>4533</v>
      </c>
      <c r="G97" s="12">
        <v>0.01</v>
      </c>
      <c r="H97" s="12">
        <v>2060</v>
      </c>
      <c r="I97" s="44">
        <v>1995.3391880993613</v>
      </c>
      <c r="J97" s="21">
        <v>0.01</v>
      </c>
    </row>
    <row r="98" spans="1:10" x14ac:dyDescent="0.2">
      <c r="A98" s="20">
        <v>4</v>
      </c>
      <c r="B98" s="12">
        <v>2105.3400000007714</v>
      </c>
      <c r="C98" s="12">
        <v>3.9797013859454136E+31</v>
      </c>
      <c r="D98" s="12">
        <v>1.5335381320632755E+34</v>
      </c>
      <c r="E98" s="12">
        <v>6.845086383826111E+34</v>
      </c>
      <c r="F98" s="12">
        <v>3533</v>
      </c>
      <c r="G98" s="12">
        <v>0.01</v>
      </c>
      <c r="H98" s="12">
        <v>2070</v>
      </c>
      <c r="I98" s="44">
        <v>2005.3391880993613</v>
      </c>
      <c r="J98" s="21">
        <v>0.01</v>
      </c>
    </row>
    <row r="99" spans="1:10" x14ac:dyDescent="0.2">
      <c r="A99" s="20">
        <v>5</v>
      </c>
      <c r="B99" s="12">
        <v>2105.3400000005531</v>
      </c>
      <c r="C99" s="12">
        <v>3.9797013859476474E+31</v>
      </c>
      <c r="D99" s="12">
        <v>1.5335381320632677E+34</v>
      </c>
      <c r="E99" s="12">
        <v>6.8450863838299535E+34</v>
      </c>
      <c r="F99" s="12">
        <v>2533</v>
      </c>
      <c r="G99" s="12">
        <v>0.01</v>
      </c>
      <c r="H99" s="12">
        <v>2080</v>
      </c>
      <c r="I99" s="44">
        <v>2015.3391880993613</v>
      </c>
      <c r="J99" s="21">
        <v>0.01</v>
      </c>
    </row>
    <row r="100" spans="1:10" x14ac:dyDescent="0.2">
      <c r="A100" s="20">
        <v>6</v>
      </c>
      <c r="B100" s="12"/>
      <c r="C100" s="12"/>
      <c r="D100" s="12"/>
      <c r="E100" s="12"/>
      <c r="F100" s="12"/>
      <c r="G100" s="12">
        <v>0.01</v>
      </c>
      <c r="H100" s="12">
        <v>700</v>
      </c>
      <c r="I100" s="44">
        <v>672.17826656891248</v>
      </c>
      <c r="J100" s="21">
        <v>0.01</v>
      </c>
    </row>
    <row r="101" spans="1:10" x14ac:dyDescent="0.2">
      <c r="A101" s="20">
        <v>7</v>
      </c>
      <c r="B101" s="12"/>
      <c r="C101" s="12"/>
      <c r="D101" s="12"/>
      <c r="E101" s="12"/>
      <c r="F101" s="12"/>
      <c r="G101" s="12">
        <v>0.01</v>
      </c>
      <c r="H101" s="12">
        <v>850</v>
      </c>
      <c r="I101" s="44">
        <v>822.17826656891248</v>
      </c>
      <c r="J101" s="21">
        <v>0.01</v>
      </c>
    </row>
    <row r="102" spans="1:10" x14ac:dyDescent="0.2">
      <c r="A102" s="20">
        <v>8</v>
      </c>
      <c r="B102" s="12"/>
      <c r="C102" s="12"/>
      <c r="D102" s="12"/>
      <c r="E102" s="12"/>
      <c r="F102" s="12"/>
      <c r="G102" s="12">
        <v>0.01</v>
      </c>
      <c r="H102" s="12">
        <v>900</v>
      </c>
      <c r="I102" s="44">
        <v>872.17826656891248</v>
      </c>
      <c r="J102" s="21">
        <v>0.01</v>
      </c>
    </row>
    <row r="103" spans="1:10" ht="13.5" thickBot="1" x14ac:dyDescent="0.25">
      <c r="A103" s="22">
        <v>9</v>
      </c>
      <c r="B103" s="23"/>
      <c r="C103" s="23"/>
      <c r="D103" s="23"/>
      <c r="E103" s="23"/>
      <c r="F103" s="23"/>
      <c r="G103" s="23">
        <v>0.01</v>
      </c>
      <c r="H103" s="23">
        <v>950</v>
      </c>
      <c r="I103" s="46">
        <v>922.17826656891248</v>
      </c>
      <c r="J103" s="24">
        <v>0.01</v>
      </c>
    </row>
    <row r="104" spans="1:10" x14ac:dyDescent="0.2">
      <c r="A104" s="17">
        <v>1</v>
      </c>
      <c r="B104" s="18">
        <v>2105.3390000114923</v>
      </c>
      <c r="C104" s="18">
        <v>3.9797117136344019E+31</v>
      </c>
      <c r="D104" s="18">
        <v>1.5335381320659028E+34</v>
      </c>
      <c r="E104" s="18">
        <v>6.8451041474511717E+34</v>
      </c>
      <c r="F104" s="18">
        <v>65338</v>
      </c>
      <c r="G104" s="18">
        <v>1E-3</v>
      </c>
      <c r="H104" s="18">
        <v>2040</v>
      </c>
      <c r="I104" s="45">
        <v>1975.3391880993613</v>
      </c>
      <c r="J104" s="19">
        <v>1E-3</v>
      </c>
    </row>
    <row r="105" spans="1:10" x14ac:dyDescent="0.2">
      <c r="A105" s="20">
        <v>2</v>
      </c>
      <c r="B105" s="12">
        <v>2105.339000011274</v>
      </c>
      <c r="C105" s="12">
        <v>3.9797117136366366E+31</v>
      </c>
      <c r="D105" s="12">
        <v>1.5335381320658952E+34</v>
      </c>
      <c r="E105" s="12">
        <v>6.845104147455015E+34</v>
      </c>
      <c r="F105" s="12">
        <v>55338</v>
      </c>
      <c r="G105" s="12">
        <v>1E-3</v>
      </c>
      <c r="H105" s="12">
        <v>2050</v>
      </c>
      <c r="I105" s="44">
        <v>1985.3391880993613</v>
      </c>
      <c r="J105" s="21">
        <v>1E-3</v>
      </c>
    </row>
    <row r="106" spans="1:10" x14ac:dyDescent="0.2">
      <c r="A106" s="20">
        <v>3</v>
      </c>
      <c r="B106" s="12">
        <v>2105.3390000092368</v>
      </c>
      <c r="C106" s="12">
        <v>3.9797117136577031E+31</v>
      </c>
      <c r="D106" s="12">
        <v>1.5335381320659054E+34</v>
      </c>
      <c r="E106" s="12">
        <v>6.8451041474912491E+34</v>
      </c>
      <c r="F106" s="12">
        <v>45338</v>
      </c>
      <c r="G106" s="12">
        <v>1E-3</v>
      </c>
      <c r="H106" s="12">
        <v>2060</v>
      </c>
      <c r="I106" s="44">
        <v>1995.3391880993613</v>
      </c>
      <c r="J106" s="21">
        <v>1E-3</v>
      </c>
    </row>
    <row r="107" spans="1:10" x14ac:dyDescent="0.2">
      <c r="A107" s="20">
        <v>4</v>
      </c>
      <c r="B107" s="12">
        <v>2105.3390000071995</v>
      </c>
      <c r="C107" s="12">
        <v>3.9797117136787416E+31</v>
      </c>
      <c r="D107" s="12">
        <v>1.5335381320659047E+34</v>
      </c>
      <c r="E107" s="12">
        <v>6.845104147527436E+34</v>
      </c>
      <c r="F107" s="12">
        <v>35338</v>
      </c>
      <c r="G107" s="12">
        <v>1E-3</v>
      </c>
      <c r="H107" s="12">
        <v>2070</v>
      </c>
      <c r="I107" s="44">
        <v>2005.3391880993613</v>
      </c>
      <c r="J107" s="21">
        <v>1E-3</v>
      </c>
    </row>
    <row r="108" spans="1:10" x14ac:dyDescent="0.2">
      <c r="A108" s="20">
        <v>5</v>
      </c>
      <c r="B108" s="12">
        <v>2105.3390000051622</v>
      </c>
      <c r="C108" s="12">
        <v>3.9797117136998081E+31</v>
      </c>
      <c r="D108" s="12">
        <v>1.5335381320659146E+34</v>
      </c>
      <c r="E108" s="12">
        <v>6.8451041475636701E+34</v>
      </c>
      <c r="F108" s="12">
        <v>25338</v>
      </c>
      <c r="G108" s="12">
        <v>1E-3</v>
      </c>
      <c r="H108" s="12">
        <v>2080</v>
      </c>
      <c r="I108" s="44">
        <v>2015.3391880993613</v>
      </c>
      <c r="J108" s="21">
        <v>1E-3</v>
      </c>
    </row>
    <row r="109" spans="1:10" x14ac:dyDescent="0.2">
      <c r="A109" s="20">
        <v>6</v>
      </c>
      <c r="B109" s="12"/>
      <c r="C109" s="12"/>
      <c r="D109" s="12"/>
      <c r="E109" s="12"/>
      <c r="F109" s="12"/>
      <c r="G109" s="12">
        <v>1E-3</v>
      </c>
      <c r="H109" s="12">
        <v>800</v>
      </c>
      <c r="I109" s="44">
        <v>772.17826656891248</v>
      </c>
      <c r="J109" s="21">
        <v>1E-3</v>
      </c>
    </row>
    <row r="110" spans="1:10" x14ac:dyDescent="0.2">
      <c r="A110" s="20">
        <v>7</v>
      </c>
      <c r="B110" s="12"/>
      <c r="C110" s="12"/>
      <c r="D110" s="12"/>
      <c r="E110" s="12"/>
      <c r="F110" s="12"/>
      <c r="G110" s="12">
        <v>1E-3</v>
      </c>
      <c r="H110" s="12">
        <v>850</v>
      </c>
      <c r="I110" s="44">
        <v>822.17826656891248</v>
      </c>
      <c r="J110" s="21">
        <v>1E-3</v>
      </c>
    </row>
    <row r="111" spans="1:10" x14ac:dyDescent="0.2">
      <c r="A111" s="20">
        <v>8</v>
      </c>
      <c r="B111" s="12"/>
      <c r="C111" s="12"/>
      <c r="D111" s="12"/>
      <c r="E111" s="12"/>
      <c r="F111" s="12"/>
      <c r="G111" s="12">
        <v>1E-3</v>
      </c>
      <c r="H111" s="12">
        <v>900</v>
      </c>
      <c r="I111" s="44">
        <v>872.17826656891248</v>
      </c>
      <c r="J111" s="21">
        <v>1E-3</v>
      </c>
    </row>
    <row r="112" spans="1:10" ht="13.5" thickBot="1" x14ac:dyDescent="0.25">
      <c r="A112" s="22">
        <v>9</v>
      </c>
      <c r="B112" s="23"/>
      <c r="C112" s="23"/>
      <c r="D112" s="23"/>
      <c r="E112" s="23"/>
      <c r="F112" s="23"/>
      <c r="G112" s="23">
        <v>1E-3</v>
      </c>
      <c r="H112" s="23">
        <v>950</v>
      </c>
      <c r="I112" s="46">
        <v>922.17826656891248</v>
      </c>
      <c r="J112" s="24">
        <v>1E-3</v>
      </c>
    </row>
  </sheetData>
  <phoneticPr fontId="2" type="noConversion"/>
  <pageMargins left="0.75" right="0.75" top="1" bottom="1" header="0.5" footer="0.5"/>
  <pageSetup paperSize="9" orientation="portrait" horizontalDpi="300" verticalDpi="300" r:id="rId1"/>
  <headerFooter alignWithMargins="0"/>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sheet1</vt:lpstr>
      <vt:lpstr>sheet2</vt:lpstr>
      <vt:lpstr>sheet3</vt:lpstr>
      <vt:lpstr>sheet4</vt:lpstr>
      <vt:lpstr>Sheet5</vt:lpstr>
    </vt:vector>
  </TitlesOfParts>
  <Manager>Ten IG</Manager>
  <Company>КТУ</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Лабораторная работа №3</dc:title>
  <dc:subject>Методы оптимизации</dc:subject>
  <dc:creator>ten_IG</dc:creator>
  <dc:description>27.09.2006 File has been repaired on Sheet3! along with Manuals #3!</dc:description>
  <cp:lastModifiedBy>Айжамал Бектурсунова</cp:lastModifiedBy>
  <cp:lastPrinted>2002-02-04T06:01:00Z</cp:lastPrinted>
  <dcterms:created xsi:type="dcterms:W3CDTF">2002-01-25T11:06:38Z</dcterms:created>
  <dcterms:modified xsi:type="dcterms:W3CDTF">2024-10-15T06:51:59Z</dcterms:modified>
  <cp:category>POVT-1-01</cp:category>
</cp:coreProperties>
</file>