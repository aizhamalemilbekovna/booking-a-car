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13E5E66C-4044-4010-B1BB-411FE92D12D5}" xr6:coauthVersionLast="47" xr6:coauthVersionMax="47" xr10:uidLastSave="{00000000-0000-0000-0000-000000000000}"/>
  <bookViews>
    <workbookView xWindow="-120" yWindow="-120" windowWidth="20730" windowHeight="11160" activeTab="1" xr2:uid="{00000000-000D-0000-FFFF-FFFF00000000}"/>
  </bookViews>
  <sheets>
    <sheet name="sheet1" sheetId="1" r:id="rId1"/>
    <sheet name="sheet2" sheetId="6" r:id="rId2"/>
    <sheet name="sheet3" sheetId="3" r:id="rId3"/>
    <sheet name="sheet4" sheetId="4" r:id="rId4"/>
    <sheet name="sheet5" sheetId="5" r:id="rId5"/>
  </sheets>
  <externalReferences>
    <externalReference r:id="rId6"/>
  </externalReferenc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6" l="1"/>
  <c r="E4" i="6" l="1"/>
  <c r="H7" i="4"/>
  <c r="I7" i="4" s="1"/>
  <c r="L6" i="4"/>
  <c r="I14" i="4"/>
  <c r="K104" i="1"/>
  <c r="J104" i="1" s="1"/>
  <c r="I104" i="1"/>
  <c r="K103" i="1"/>
  <c r="J103" i="1" s="1"/>
  <c r="I103" i="1"/>
  <c r="K102" i="1"/>
  <c r="J102" i="1" s="1"/>
  <c r="I102" i="1"/>
  <c r="K101" i="1"/>
  <c r="J101" i="1" s="1"/>
  <c r="I101" i="1"/>
  <c r="K100" i="1"/>
  <c r="J100" i="1"/>
  <c r="I100" i="1"/>
  <c r="K99" i="1"/>
  <c r="J99" i="1" s="1"/>
  <c r="I99" i="1"/>
  <c r="K98" i="1"/>
  <c r="J98" i="1" s="1"/>
  <c r="I98" i="1"/>
  <c r="K97" i="1"/>
  <c r="J97" i="1"/>
  <c r="I97" i="1"/>
  <c r="K96" i="1"/>
  <c r="J96" i="1" s="1"/>
  <c r="I96" i="1"/>
  <c r="K95" i="1"/>
  <c r="J95" i="1" s="1"/>
  <c r="I95" i="1"/>
  <c r="K94" i="1"/>
  <c r="J94" i="1" s="1"/>
  <c r="I94" i="1"/>
  <c r="K93" i="1"/>
  <c r="J93" i="1" s="1"/>
  <c r="I93" i="1"/>
  <c r="K92" i="1"/>
  <c r="J92" i="1"/>
  <c r="I92" i="1"/>
  <c r="K91" i="1"/>
  <c r="J91" i="1" s="1"/>
  <c r="I91" i="1"/>
  <c r="K90" i="1"/>
  <c r="J90" i="1" s="1"/>
  <c r="I90" i="1"/>
  <c r="K89" i="1"/>
  <c r="J89" i="1"/>
  <c r="I89" i="1"/>
  <c r="K88" i="1"/>
  <c r="J88" i="1" s="1"/>
  <c r="I88" i="1"/>
  <c r="K87" i="1"/>
  <c r="J87" i="1" s="1"/>
  <c r="I87" i="1"/>
  <c r="K86" i="1"/>
  <c r="J86" i="1" s="1"/>
  <c r="I86" i="1"/>
  <c r="K85" i="1"/>
  <c r="J85" i="1" s="1"/>
  <c r="I85" i="1"/>
  <c r="K84" i="1"/>
  <c r="J84" i="1"/>
  <c r="I84" i="1"/>
  <c r="K83" i="1"/>
  <c r="J83" i="1" s="1"/>
  <c r="I83" i="1"/>
  <c r="K82" i="1"/>
  <c r="J82" i="1" s="1"/>
  <c r="I82" i="1"/>
  <c r="K81" i="1"/>
  <c r="J81" i="1"/>
  <c r="I81" i="1"/>
  <c r="K80" i="1"/>
  <c r="J80" i="1" s="1"/>
  <c r="I80" i="1"/>
  <c r="K79" i="1"/>
  <c r="J79" i="1" s="1"/>
  <c r="I79" i="1"/>
  <c r="K78" i="1"/>
  <c r="J78" i="1" s="1"/>
  <c r="I78" i="1"/>
  <c r="K77" i="1"/>
  <c r="J77" i="1" s="1"/>
  <c r="I77" i="1"/>
  <c r="K76" i="1"/>
  <c r="J76" i="1"/>
  <c r="I76" i="1"/>
  <c r="K75" i="1"/>
  <c r="J75" i="1" s="1"/>
  <c r="I75" i="1"/>
  <c r="K74" i="1"/>
  <c r="J74" i="1" s="1"/>
  <c r="I74" i="1"/>
  <c r="K73" i="1"/>
  <c r="J73" i="1"/>
  <c r="I73" i="1"/>
  <c r="K72" i="1"/>
  <c r="J72" i="1" s="1"/>
  <c r="I72" i="1"/>
  <c r="K71" i="1"/>
  <c r="J71" i="1" s="1"/>
  <c r="I71" i="1"/>
  <c r="K70" i="1"/>
  <c r="J70" i="1" s="1"/>
  <c r="I70" i="1"/>
  <c r="K69" i="1"/>
  <c r="J69" i="1" s="1"/>
  <c r="I69" i="1"/>
  <c r="K68" i="1"/>
  <c r="J68" i="1"/>
  <c r="I68" i="1"/>
  <c r="K67" i="1"/>
  <c r="J67" i="1" s="1"/>
  <c r="I67" i="1"/>
  <c r="K66" i="1"/>
  <c r="J66" i="1" s="1"/>
  <c r="I66" i="1"/>
  <c r="K65" i="1"/>
  <c r="J65" i="1"/>
  <c r="I65" i="1"/>
  <c r="K64" i="1"/>
  <c r="J64" i="1" s="1"/>
  <c r="I64" i="1"/>
  <c r="K63" i="1"/>
  <c r="J63" i="1" s="1"/>
  <c r="I63" i="1"/>
  <c r="K62" i="1"/>
  <c r="J62" i="1" s="1"/>
  <c r="I62" i="1"/>
  <c r="K61" i="1"/>
  <c r="J61" i="1" s="1"/>
  <c r="I61" i="1"/>
  <c r="K60" i="1"/>
  <c r="J60" i="1"/>
  <c r="I60" i="1"/>
  <c r="K59" i="1"/>
  <c r="J59" i="1" s="1"/>
  <c r="I59" i="1"/>
  <c r="K58" i="1"/>
  <c r="J58" i="1" s="1"/>
  <c r="I58" i="1"/>
  <c r="K57" i="1"/>
  <c r="J57" i="1"/>
  <c r="I57" i="1"/>
  <c r="K56" i="1"/>
  <c r="J56" i="1" s="1"/>
  <c r="I56" i="1"/>
  <c r="K55" i="1"/>
  <c r="J55" i="1" s="1"/>
  <c r="I55" i="1"/>
  <c r="K54" i="1"/>
  <c r="J54" i="1" s="1"/>
  <c r="I54" i="1"/>
  <c r="K53" i="1"/>
  <c r="J53" i="1" s="1"/>
  <c r="I53" i="1"/>
  <c r="K52" i="1"/>
  <c r="J52" i="1"/>
  <c r="I52" i="1"/>
  <c r="K51" i="1"/>
  <c r="J51" i="1" s="1"/>
  <c r="I51" i="1"/>
  <c r="K50" i="1"/>
  <c r="J50" i="1" s="1"/>
  <c r="I50" i="1"/>
  <c r="K49" i="1"/>
  <c r="J49" i="1"/>
  <c r="I49" i="1"/>
  <c r="K48" i="1"/>
  <c r="J48" i="1" s="1"/>
  <c r="I48" i="1"/>
  <c r="K47" i="1"/>
  <c r="J47" i="1" s="1"/>
  <c r="I47" i="1"/>
  <c r="K46" i="1"/>
  <c r="J46" i="1" s="1"/>
  <c r="I46" i="1"/>
  <c r="K45" i="1"/>
  <c r="J45" i="1" s="1"/>
  <c r="I45" i="1"/>
  <c r="K44" i="1"/>
  <c r="J44" i="1"/>
  <c r="I44" i="1"/>
  <c r="K43" i="1"/>
  <c r="J43" i="1" s="1"/>
  <c r="I43" i="1"/>
  <c r="K42" i="1"/>
  <c r="J42" i="1" s="1"/>
  <c r="I42" i="1"/>
  <c r="K41" i="1"/>
  <c r="J41" i="1"/>
  <c r="I41" i="1"/>
  <c r="K40" i="1"/>
  <c r="J40" i="1" s="1"/>
  <c r="I40" i="1"/>
  <c r="K39" i="1"/>
  <c r="J39" i="1" s="1"/>
  <c r="I39" i="1"/>
  <c r="K38" i="1"/>
  <c r="J38" i="1" s="1"/>
  <c r="I38" i="1"/>
  <c r="K37" i="1"/>
  <c r="J37" i="1" s="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c r="I28" i="1"/>
  <c r="K27" i="1"/>
  <c r="J27" i="1" s="1"/>
  <c r="I27" i="1"/>
  <c r="K26" i="1"/>
  <c r="J26" i="1" s="1"/>
  <c r="I26" i="1"/>
  <c r="K25" i="1"/>
  <c r="J25" i="1"/>
  <c r="I25" i="1"/>
  <c r="K24" i="1"/>
  <c r="J24" i="1" s="1"/>
  <c r="I24" i="1"/>
  <c r="K23" i="1"/>
  <c r="J23" i="1" s="1"/>
  <c r="I23" i="1"/>
  <c r="K22" i="1"/>
  <c r="J22" i="1" s="1"/>
  <c r="I22" i="1"/>
  <c r="K21" i="1"/>
  <c r="J21" i="1" s="1"/>
  <c r="I21" i="1"/>
  <c r="K20" i="1"/>
  <c r="J20" i="1"/>
  <c r="I20" i="1"/>
  <c r="K19" i="1"/>
  <c r="J19" i="1" s="1"/>
  <c r="I19" i="1"/>
  <c r="K18" i="1"/>
  <c r="J18" i="1" s="1"/>
  <c r="I18" i="1"/>
  <c r="K17" i="1"/>
  <c r="J17" i="1"/>
  <c r="I17" i="1"/>
  <c r="K16" i="1"/>
  <c r="J16" i="1" s="1"/>
  <c r="I16" i="1"/>
  <c r="K15" i="1"/>
  <c r="J15" i="1" s="1"/>
  <c r="I15" i="1"/>
  <c r="K14" i="1"/>
  <c r="J14" i="1" s="1"/>
  <c r="I14" i="1"/>
  <c r="K13" i="1"/>
  <c r="J13" i="1" s="1"/>
  <c r="I13" i="1"/>
  <c r="K12" i="1"/>
  <c r="J12" i="1"/>
  <c r="I12" i="1"/>
  <c r="K11" i="1"/>
  <c r="J11" i="1" s="1"/>
  <c r="I11" i="1"/>
  <c r="K10" i="1"/>
  <c r="J10" i="1" s="1"/>
  <c r="I10" i="1"/>
  <c r="K9" i="1"/>
  <c r="J9" i="1"/>
  <c r="I9" i="1"/>
  <c r="K8" i="1"/>
  <c r="J8" i="1" s="1"/>
  <c r="I8" i="1"/>
  <c r="K7" i="1"/>
  <c r="J7" i="1" s="1"/>
  <c r="I7" i="1"/>
  <c r="K6" i="1"/>
  <c r="J6" i="1" s="1"/>
  <c r="I6" i="1"/>
  <c r="K5" i="1"/>
  <c r="J5" i="1" s="1"/>
  <c r="I5" i="1"/>
  <c r="K4" i="1"/>
  <c r="J4" i="1"/>
  <c r="I4" i="1"/>
  <c r="I6" i="4" l="1"/>
  <c r="I24" i="5"/>
  <c r="I23" i="5"/>
  <c r="I22" i="5"/>
  <c r="I21" i="5"/>
  <c r="I20" i="5"/>
  <c r="I19" i="5"/>
  <c r="I18" i="5"/>
  <c r="I17" i="5"/>
  <c r="I16" i="5"/>
  <c r="I15" i="5"/>
  <c r="I14" i="5"/>
  <c r="I13" i="5"/>
  <c r="I12" i="5"/>
  <c r="J13" i="3" l="1"/>
  <c r="J12" i="3"/>
  <c r="J11" i="3"/>
  <c r="J10" i="3"/>
  <c r="J9" i="3"/>
  <c r="J8" i="3"/>
  <c r="J7" i="3"/>
  <c r="J6" i="3"/>
  <c r="B4" i="6" l="1"/>
  <c r="C4" i="6"/>
  <c r="G4" i="6"/>
  <c r="I4" i="6"/>
  <c r="J4" i="6"/>
  <c r="B5" i="6"/>
  <c r="C5" i="6"/>
  <c r="D5" i="6"/>
  <c r="I5" i="6"/>
  <c r="B6" i="6"/>
  <c r="C6" i="6"/>
  <c r="D6" i="6"/>
  <c r="I6" i="6"/>
  <c r="B7" i="6"/>
  <c r="C7" i="6"/>
  <c r="D7" i="6"/>
  <c r="I7" i="6"/>
  <c r="B8" i="6"/>
  <c r="C8" i="6"/>
  <c r="D8" i="6"/>
  <c r="I8" i="6"/>
  <c r="B9" i="6"/>
  <c r="C9" i="6"/>
  <c r="D9" i="6"/>
  <c r="I9" i="6"/>
  <c r="B10" i="6"/>
  <c r="C10" i="6"/>
  <c r="D10" i="6"/>
  <c r="I10" i="6"/>
  <c r="B11" i="6"/>
  <c r="C11" i="6"/>
  <c r="D11" i="6"/>
  <c r="I11" i="6"/>
  <c r="B12" i="6"/>
  <c r="C12" i="6"/>
  <c r="D12" i="6"/>
  <c r="I12" i="6"/>
  <c r="B13" i="6"/>
  <c r="C13" i="6"/>
  <c r="D13" i="6"/>
  <c r="I13" i="6"/>
  <c r="B14" i="6"/>
  <c r="C14" i="6"/>
  <c r="D14" i="6"/>
  <c r="I14" i="6"/>
  <c r="B15" i="6"/>
  <c r="C15" i="6"/>
  <c r="D15" i="6"/>
  <c r="I15" i="6"/>
  <c r="B16" i="6"/>
  <c r="C16" i="6"/>
  <c r="D16" i="6"/>
  <c r="I16" i="6"/>
  <c r="B17" i="6"/>
  <c r="C17" i="6"/>
  <c r="D17" i="6"/>
  <c r="I17" i="6"/>
  <c r="B18" i="6"/>
  <c r="C18" i="6"/>
  <c r="D18" i="6"/>
  <c r="I18" i="6"/>
  <c r="B19" i="6"/>
  <c r="C19" i="6"/>
  <c r="D19" i="6"/>
  <c r="I19" i="6"/>
  <c r="B20" i="6"/>
  <c r="C20" i="6"/>
  <c r="D20" i="6"/>
  <c r="I20" i="6"/>
  <c r="B21" i="6"/>
  <c r="C21" i="6"/>
  <c r="D21" i="6"/>
  <c r="I21" i="6"/>
  <c r="B22" i="6"/>
  <c r="C22" i="6"/>
  <c r="D22" i="6"/>
  <c r="I22" i="6"/>
  <c r="B23" i="6"/>
  <c r="C23" i="6"/>
  <c r="D23" i="6"/>
  <c r="I23" i="6"/>
  <c r="I24" i="6"/>
  <c r="H8" i="4"/>
  <c r="H10" i="4"/>
  <c r="I10" i="4"/>
  <c r="J10" i="4"/>
  <c r="K10" i="4"/>
  <c r="L10" i="4"/>
  <c r="H11" i="4"/>
  <c r="I11" i="4"/>
  <c r="J11" i="4"/>
  <c r="K11" i="4"/>
  <c r="H12" i="4"/>
  <c r="I12" i="4"/>
  <c r="J12" i="4"/>
  <c r="K12" i="4"/>
  <c r="L12" i="4"/>
  <c r="H13" i="4"/>
  <c r="H14" i="4"/>
  <c r="H15" i="4"/>
  <c r="H16" i="4"/>
  <c r="H17" i="4"/>
  <c r="H18" i="4"/>
  <c r="H19" i="4"/>
  <c r="H2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D3" authorId="0" shapeId="0" xr:uid="{ECEC3ADF-6285-40C3-9D9A-72B11280F007}">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xr:uid="{90A450BC-BBFE-48C1-9CFB-65C94C1E183B}">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A6" authorId="0" shapeId="0" xr:uid="{00000000-0006-0000-0200-000001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sharedStrings.xml><?xml version="1.0" encoding="utf-8"?>
<sst xmlns="http://schemas.openxmlformats.org/spreadsheetml/2006/main" count="122" uniqueCount="96">
  <si>
    <t>Параметры модели рынка для лабораторных работ по Методам оптимизации</t>
  </si>
  <si>
    <t>№</t>
  </si>
  <si>
    <t>Это параметры для примера</t>
  </si>
  <si>
    <t>Прибыль-МаксПрибыли</t>
  </si>
  <si>
    <t>N</t>
  </si>
  <si>
    <r>
      <t>Прибыль</t>
    </r>
    <r>
      <rPr>
        <b/>
        <vertAlign val="subscript"/>
        <sz val="10"/>
        <rFont val="Arial Cyr"/>
        <charset val="204"/>
      </rPr>
      <t>N</t>
    </r>
    <r>
      <rPr>
        <b/>
        <sz val="10"/>
        <rFont val="Arial Cyr"/>
        <charset val="204"/>
      </rPr>
      <t xml:space="preserve"> -Прибыль</t>
    </r>
    <r>
      <rPr>
        <b/>
        <vertAlign val="subscript"/>
        <sz val="10"/>
        <rFont val="Arial Cyr"/>
        <charset val="204"/>
      </rPr>
      <t>N-1</t>
    </r>
  </si>
  <si>
    <t>Погрешность</t>
  </si>
  <si>
    <t>Таблица 3: Зависимость решения задачи от Погрешности и Начального значения цены.</t>
  </si>
  <si>
    <t>Оптимальная Цена</t>
  </si>
  <si>
    <t xml:space="preserve"> Оптимальная Прибыль</t>
  </si>
  <si>
    <t>Начальная цена</t>
  </si>
  <si>
    <t>Оптимальный Спрос</t>
  </si>
  <si>
    <t>Оптимальный Кредит</t>
  </si>
  <si>
    <t>Количество итераций</t>
  </si>
  <si>
    <t>Допустимая Погрешность</t>
  </si>
  <si>
    <t>Оптимальная цена</t>
  </si>
  <si>
    <t>В исходное состояние</t>
  </si>
  <si>
    <t>Пуск программы</t>
  </si>
  <si>
    <t>alfa</t>
  </si>
  <si>
    <t>Выбор допустимой погрешности</t>
  </si>
  <si>
    <t>Программа, реализующая метод  Золотого сечения</t>
  </si>
  <si>
    <r>
      <t>a</t>
    </r>
    <r>
      <rPr>
        <b/>
        <vertAlign val="superscript"/>
        <sz val="8"/>
        <rFont val="Arial Cyr"/>
        <charset val="204"/>
      </rPr>
      <t>k</t>
    </r>
  </si>
  <si>
    <r>
      <t>b</t>
    </r>
    <r>
      <rPr>
        <b/>
        <vertAlign val="superscript"/>
        <sz val="8"/>
        <rFont val="Arial Cyr"/>
        <charset val="204"/>
      </rPr>
      <t>k</t>
    </r>
  </si>
  <si>
    <r>
      <t>c</t>
    </r>
    <r>
      <rPr>
        <b/>
        <vertAlign val="superscript"/>
        <sz val="8"/>
        <rFont val="Arial Cyr"/>
        <charset val="204"/>
      </rPr>
      <t>k</t>
    </r>
  </si>
  <si>
    <r>
      <t>d</t>
    </r>
    <r>
      <rPr>
        <b/>
        <vertAlign val="superscript"/>
        <sz val="8"/>
        <rFont val="Arial Cyr"/>
        <charset val="204"/>
      </rPr>
      <t>k</t>
    </r>
  </si>
  <si>
    <r>
      <t>h</t>
    </r>
    <r>
      <rPr>
        <b/>
        <vertAlign val="superscript"/>
        <sz val="8"/>
        <rFont val="Arial Cyr"/>
        <charset val="204"/>
      </rPr>
      <t>k</t>
    </r>
  </si>
  <si>
    <t>Rone=r</t>
  </si>
  <si>
    <t>Rtwo=(1-r)</t>
  </si>
  <si>
    <r>
      <t>Конечные точки начального интервала a</t>
    </r>
    <r>
      <rPr>
        <vertAlign val="superscript"/>
        <sz val="10"/>
        <rFont val="Arial Cyr"/>
        <charset val="204"/>
      </rPr>
      <t>k</t>
    </r>
    <r>
      <rPr>
        <sz val="10"/>
        <rFont val="Arial Cyr"/>
        <charset val="204"/>
      </rPr>
      <t xml:space="preserve"> , b</t>
    </r>
    <r>
      <rPr>
        <vertAlign val="superscript"/>
        <sz val="10"/>
        <rFont val="Arial Cyr"/>
        <charset val="204"/>
      </rPr>
      <t>k</t>
    </r>
  </si>
  <si>
    <t>Номер итерации k</t>
  </si>
  <si>
    <r>
      <t>Вычисление  точек a</t>
    </r>
    <r>
      <rPr>
        <vertAlign val="superscript"/>
        <sz val="10"/>
        <rFont val="Arial Cyr"/>
        <charset val="204"/>
      </rPr>
      <t>k</t>
    </r>
    <r>
      <rPr>
        <sz val="10"/>
        <rFont val="Arial Cyr"/>
        <charset val="204"/>
      </rPr>
      <t>, b</t>
    </r>
    <r>
      <rPr>
        <vertAlign val="superscript"/>
        <sz val="10"/>
        <rFont val="Arial Cyr"/>
        <charset val="204"/>
      </rPr>
      <t>k</t>
    </r>
    <r>
      <rPr>
        <sz val="10"/>
        <rFont val="Arial Cyr"/>
        <charset val="204"/>
      </rPr>
      <t>, c</t>
    </r>
    <r>
      <rPr>
        <vertAlign val="superscript"/>
        <sz val="10"/>
        <rFont val="Arial Cyr"/>
        <charset val="204"/>
      </rPr>
      <t>k</t>
    </r>
    <r>
      <rPr>
        <sz val="10"/>
        <rFont val="Arial Cyr"/>
        <charset val="204"/>
      </rPr>
      <t>, d</t>
    </r>
    <r>
      <rPr>
        <vertAlign val="superscript"/>
        <sz val="10"/>
        <rFont val="Arial Cyr"/>
        <charset val="204"/>
      </rPr>
      <t>k</t>
    </r>
    <r>
      <rPr>
        <sz val="10"/>
        <rFont val="Arial Cyr"/>
        <charset val="204"/>
      </rPr>
      <t xml:space="preserve"> </t>
    </r>
  </si>
  <si>
    <t>Вычисление целевой функции</t>
  </si>
  <si>
    <r>
      <t>Новые точки интервала  a</t>
    </r>
    <r>
      <rPr>
        <vertAlign val="superscript"/>
        <sz val="10"/>
        <rFont val="Arial Cyr"/>
        <charset val="204"/>
      </rPr>
      <t>k+1</t>
    </r>
    <r>
      <rPr>
        <sz val="10"/>
        <rFont val="Arial Cyr"/>
        <charset val="204"/>
      </rPr>
      <t>, b</t>
    </r>
    <r>
      <rPr>
        <vertAlign val="superscript"/>
        <sz val="10"/>
        <rFont val="Arial Cyr"/>
        <charset val="204"/>
      </rPr>
      <t>k+1,</t>
    </r>
    <r>
      <rPr>
        <sz val="10"/>
        <rFont val="Arial Cyr"/>
        <charset val="204"/>
      </rPr>
      <t xml:space="preserve"> c</t>
    </r>
    <r>
      <rPr>
        <vertAlign val="superscript"/>
        <sz val="10"/>
        <rFont val="Arial Cyr"/>
        <charset val="204"/>
      </rPr>
      <t>k+1</t>
    </r>
    <r>
      <rPr>
        <sz val="10"/>
        <rFont val="Arial Cyr"/>
        <charset val="204"/>
      </rPr>
      <t>, d</t>
    </r>
    <r>
      <rPr>
        <vertAlign val="superscript"/>
        <sz val="10"/>
        <rFont val="Arial Cyr"/>
        <charset val="204"/>
      </rPr>
      <t>k+1</t>
    </r>
    <r>
      <rPr>
        <sz val="10"/>
        <rFont val="Arial Cyr"/>
        <charset val="204"/>
      </rPr>
      <t xml:space="preserve"> </t>
    </r>
  </si>
  <si>
    <t>Сообщение о состоянии процесса поиска</t>
  </si>
  <si>
    <t>Оптимальный спрос</t>
  </si>
  <si>
    <t>Количество итераций N*</t>
  </si>
  <si>
    <r>
      <t>Ширина интервала h</t>
    </r>
    <r>
      <rPr>
        <vertAlign val="superscript"/>
        <sz val="10"/>
        <rFont val="Arial Cyr"/>
        <charset val="204"/>
      </rPr>
      <t>k</t>
    </r>
  </si>
  <si>
    <t>Обозначения  точек интервала</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</si>
  <si>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</si>
  <si>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Кредит&lt;=Ограничение.</t>
  </si>
  <si>
    <r>
      <t xml:space="preserve">Лабораторная работа №_10: Исследование </t>
    </r>
    <r>
      <rPr>
        <b/>
        <i/>
        <sz val="14"/>
        <rFont val="Arial Cyr"/>
        <charset val="204"/>
      </rPr>
      <t xml:space="preserve">метода золотого сечения </t>
    </r>
    <r>
      <rPr>
        <b/>
        <sz val="10"/>
        <rFont val="Arial Cyr"/>
        <charset val="204"/>
      </rPr>
      <t xml:space="preserve"> при решении задачи №2.</t>
    </r>
  </si>
  <si>
    <t>Оптимальный Кредит- Ограничение</t>
  </si>
  <si>
    <t>Оптимальный Кредит-Ограничение</t>
  </si>
  <si>
    <t>Лабораторная работа №2:Исследование зависимости решения задачи №2  от Погрешности и Начального значения цены.</t>
  </si>
  <si>
    <t>В задаче №2 целевая функция имеет вид:    g(x)=[Кредит-Ограничение]^2</t>
  </si>
  <si>
    <t>Размер области поиска: b-a</t>
  </si>
  <si>
    <t>Задание по лабораторной работе:</t>
  </si>
  <si>
    <t>1. Найти зависимость количества итераций от допустимой погрешности.</t>
  </si>
  <si>
    <t>2. Найти зависимость количества итераций от размера области поиска.</t>
  </si>
  <si>
    <t>3. Построить графики 9.1 и 9.2 с этими зависимостями.</t>
  </si>
  <si>
    <t>4. Определить скорость сходимости Метода Золотого Сечения.</t>
  </si>
  <si>
    <t>Таблица 10.1: Зависимость Количества итераций от Допустимой Погрешности</t>
  </si>
  <si>
    <t>Таблица 10.2: Зависимость Количества итераций от размера области поиска</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</si>
  <si>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</si>
  <si>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</si>
  <si>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</si>
  <si>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</si>
  <si>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</si>
  <si>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</si>
  <si>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</si>
  <si>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</si>
  <si>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</si>
  <si>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</si>
  <si>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</si>
  <si>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</si>
  <si>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</si>
  <si>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</si>
  <si>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</si>
  <si>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</si>
  <si>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</si>
  <si>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</si>
  <si>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</si>
  <si>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</si>
  <si>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</si>
  <si>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</si>
  <si>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</si>
  <si>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</si>
  <si>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</si>
  <si>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</si>
  <si>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</si>
  <si>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</si>
  <si>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</si>
  <si>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</si>
  <si>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</si>
  <si>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</si>
  <si>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Таблица 9.3 Исходные данные для определения скорости сходимости Метода золотого сечения</t>
  </si>
  <si>
    <t>Таблица 9.4. Программа для оценки скорости сходимости  Метода золотого сечения</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</si>
  <si>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</si>
  <si>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</si>
  <si>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</si>
  <si>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</si>
  <si>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</si>
  <si>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</si>
  <si>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</si>
  <si>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</si>
  <si>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Вывод: Метод Золотого Сечения  имеет линейную скорость сходимости потому, что  ряд {abs(X*-Xk+1)/abs(X*-Xk)^sigma} сходится к значению A∞=abs(X*-Xk+1)/abs(X*-Xk)^sigma= 0,618033988749895 при k→∞ только для SIGMA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</si>
</sst>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E+00"/>
    <numFmt numFmtId="165" formatCode="0.000000E+00"/>
    <numFmt numFmtId="166" formatCode="#,##0.0000000"/>
    <numFmt numFmtId="167" formatCode="#,##0.000000"/>
  </numFmts>
  <fonts count="28"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sz val="20"/>
      <name val="Arial Cyr"/>
      <charset val="204"/>
    </font>
    <font>
      <vertAlign val="superscript"/>
      <sz val="10"/>
      <name val="Arial Cyr"/>
      <charset val="204"/>
    </font>
    <font>
      <b/>
      <sz val="8"/>
      <name val="Arial Cyr"/>
      <charset val="204"/>
    </font>
    <font>
      <b/>
      <vertAlign val="superscript"/>
      <sz val="8"/>
      <name val="Arial Cyr"/>
      <charset val="204"/>
    </font>
    <font>
      <b/>
      <sz val="8"/>
      <name val="Arial"/>
      <family val="2"/>
    </font>
    <font>
      <b/>
      <sz val="10"/>
      <name val="Arial Cyr"/>
    </font>
    <font>
      <vertAlign val="subscript"/>
      <sz val="8"/>
      <name val="Arial Cyr"/>
      <charset val="204"/>
    </font>
    <font>
      <sz val="10"/>
      <color theme="1"/>
      <name val="Calibri"/>
      <family val="2"/>
      <scheme val="minor"/>
    </font>
    <font>
      <sz val="10"/>
      <name val="Calibri"/>
      <family val="2"/>
      <scheme val="minor"/>
    </font>
    <font>
      <sz val="10"/>
      <color theme="1"/>
      <name val="Times New Roman"/>
      <family val="1"/>
      <charset val="204"/>
    </font>
    <font>
      <b/>
      <sz val="9"/>
      <color indexed="81"/>
      <name val="Tahoma"/>
      <family val="2"/>
      <charset val="204"/>
    </font>
    <font>
      <sz val="9"/>
      <color indexed="81"/>
      <name val="Tahoma"/>
      <family val="2"/>
      <charset val="204"/>
    </font>
    <font>
      <b/>
      <i/>
      <sz val="10"/>
      <color rgb="FFFF0000"/>
      <name val="Arial Cyr"/>
      <charset val="204"/>
    </font>
    <font>
      <sz val="10"/>
      <color theme="1"/>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b/>
      <i/>
      <sz val="12"/>
      <name val="Times New Roman"/>
      <family val="1"/>
      <charset val="204"/>
    </font>
  </fonts>
  <fills count="6">
    <fill>
      <patternFill patternType="none"/>
    </fill>
    <fill>
      <patternFill patternType="gray125"/>
    </fill>
    <fill>
      <patternFill patternType="solid">
        <fgColor indexed="13"/>
        <bgColor indexed="64"/>
      </patternFill>
    </fill>
    <fill>
      <patternFill patternType="solid">
        <fgColor theme="0"/>
        <bgColor indexed="64"/>
      </patternFill>
    </fill>
    <fill>
      <patternFill patternType="solid">
        <fgColor theme="8" tint="0.39997558519241921"/>
        <bgColor indexed="64"/>
      </patternFill>
    </fill>
    <fill>
      <patternFill patternType="solid">
        <fgColor indexed="15"/>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65">
    <xf numFmtId="0" fontId="0" fillId="0" borderId="0" xfId="0"/>
    <xf numFmtId="0" fontId="0" fillId="0" borderId="1" xfId="0" applyBorder="1"/>
    <xf numFmtId="11" fontId="0" fillId="0" borderId="1" xfId="0" applyNumberFormat="1" applyBorder="1"/>
    <xf numFmtId="0" fontId="3" fillId="0" borderId="1" xfId="0" applyFont="1" applyBorder="1"/>
    <xf numFmtId="0" fontId="3" fillId="0" borderId="1" xfId="0" applyFont="1" applyBorder="1" applyAlignment="1">
      <alignment wrapText="1"/>
    </xf>
    <xf numFmtId="0" fontId="0" fillId="0" borderId="0" xfId="0" applyAlignment="1">
      <alignment wrapText="1"/>
    </xf>
    <xf numFmtId="0" fontId="3" fillId="0" borderId="0" xfId="0" applyFont="1"/>
    <xf numFmtId="0" fontId="0" fillId="0" borderId="0" xfId="0" applyBorder="1"/>
    <xf numFmtId="0" fontId="0" fillId="0" borderId="1" xfId="0" applyBorder="1" applyProtection="1">
      <protection locked="0"/>
    </xf>
    <xf numFmtId="0" fontId="9" fillId="0" borderId="0" xfId="0" applyFont="1" applyBorder="1"/>
    <xf numFmtId="0" fontId="0" fillId="0" borderId="0" xfId="0" applyBorder="1" applyProtection="1">
      <protection locked="0"/>
    </xf>
    <xf numFmtId="0" fontId="2" fillId="0" borderId="0" xfId="0" applyFont="1" applyBorder="1" applyAlignment="1">
      <alignment wrapText="1"/>
    </xf>
    <xf numFmtId="0" fontId="8" fillId="0" borderId="0" xfId="0" applyFont="1" applyBorder="1" applyAlignment="1">
      <alignment wrapText="1"/>
    </xf>
    <xf numFmtId="0" fontId="8" fillId="0" borderId="0" xfId="0" applyFont="1" applyFill="1" applyBorder="1" applyAlignment="1">
      <alignment horizontal="center" vertical="center" wrapText="1"/>
    </xf>
    <xf numFmtId="0" fontId="2" fillId="0" borderId="0" xfId="0" applyFont="1" applyBorder="1"/>
    <xf numFmtId="0" fontId="0" fillId="0" borderId="1" xfId="0" applyBorder="1" applyProtection="1"/>
    <xf numFmtId="0" fontId="0" fillId="0" borderId="1" xfId="0" applyBorder="1" applyAlignment="1" applyProtection="1">
      <alignment wrapText="1"/>
    </xf>
    <xf numFmtId="0" fontId="0" fillId="0" borderId="0" xfId="0" applyProtection="1">
      <protection locked="0"/>
    </xf>
    <xf numFmtId="0" fontId="0" fillId="0" borderId="3" xfId="0" applyBorder="1" applyProtection="1">
      <protection locked="0"/>
    </xf>
    <xf numFmtId="164" fontId="2" fillId="0" borderId="2"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Protection="1">
      <protection locked="0"/>
    </xf>
    <xf numFmtId="164" fontId="2" fillId="0" borderId="1" xfId="0" applyNumberFormat="1" applyFont="1" applyBorder="1" applyAlignment="1" applyProtection="1">
      <alignment horizontal="center" vertical="center"/>
      <protection locked="0"/>
    </xf>
    <xf numFmtId="0" fontId="2" fillId="0" borderId="4" xfId="0" applyFont="1" applyBorder="1" applyProtection="1">
      <protection locked="0"/>
    </xf>
    <xf numFmtId="3" fontId="2" fillId="0" borderId="2" xfId="0" applyNumberFormat="1" applyFont="1" applyBorder="1" applyAlignment="1" applyProtection="1">
      <alignment horizontal="center" vertical="center"/>
      <protection locked="0"/>
    </xf>
    <xf numFmtId="0" fontId="0" fillId="0" borderId="6" xfId="0" applyBorder="1" applyProtection="1">
      <protection locked="0"/>
    </xf>
    <xf numFmtId="164" fontId="2" fillId="0" borderId="7"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164" fontId="0" fillId="0" borderId="1" xfId="0" applyNumberFormat="1" applyBorder="1" applyProtection="1">
      <protection locked="0"/>
    </xf>
    <xf numFmtId="0" fontId="3" fillId="0" borderId="1" xfId="0" applyFont="1" applyBorder="1" applyProtection="1"/>
    <xf numFmtId="0" fontId="1" fillId="0" borderId="3" xfId="0" applyFont="1" applyBorder="1" applyProtection="1"/>
    <xf numFmtId="0" fontId="0" fillId="0" borderId="3" xfId="0" applyFill="1" applyBorder="1" applyAlignment="1" applyProtection="1">
      <alignment horizontal="center" vertical="center"/>
    </xf>
    <xf numFmtId="0" fontId="0" fillId="0" borderId="3" xfId="0" applyFill="1" applyBorder="1" applyAlignment="1" applyProtection="1">
      <alignment horizontal="center" vertical="center" wrapText="1"/>
    </xf>
    <xf numFmtId="0" fontId="11" fillId="0" borderId="8" xfId="0" applyFont="1" applyBorder="1" applyAlignment="1" applyProtection="1">
      <alignment horizontal="center" vertical="center"/>
    </xf>
    <xf numFmtId="0" fontId="11" fillId="0" borderId="1" xfId="0" applyFont="1" applyBorder="1" applyAlignment="1" applyProtection="1">
      <alignment horizontal="center" vertical="center"/>
    </xf>
    <xf numFmtId="0" fontId="0" fillId="0" borderId="9" xfId="0" applyBorder="1" applyAlignment="1" applyProtection="1">
      <alignment horizontal="center" vertical="center"/>
    </xf>
    <xf numFmtId="0" fontId="0" fillId="0" borderId="10" xfId="0" applyBorder="1" applyAlignment="1" applyProtection="1">
      <alignment horizontal="center" vertical="center"/>
    </xf>
    <xf numFmtId="0" fontId="2" fillId="0" borderId="8" xfId="0" applyFont="1" applyBorder="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Protection="1"/>
    <xf numFmtId="0" fontId="11" fillId="0" borderId="8" xfId="0" applyFont="1" applyBorder="1" applyAlignment="1" applyProtection="1">
      <alignment vertical="center"/>
    </xf>
    <xf numFmtId="0" fontId="2" fillId="0" borderId="11" xfId="0" applyFont="1" applyBorder="1" applyProtection="1"/>
    <xf numFmtId="0" fontId="0" fillId="0" borderId="0" xfId="0" applyProtection="1"/>
    <xf numFmtId="166" fontId="0" fillId="0" borderId="1" xfId="0" applyNumberFormat="1" applyBorder="1"/>
    <xf numFmtId="3" fontId="0" fillId="0" borderId="1" xfId="0" applyNumberFormat="1" applyBorder="1"/>
    <xf numFmtId="2" fontId="0" fillId="0" borderId="1" xfId="0" applyNumberFormat="1" applyBorder="1"/>
    <xf numFmtId="0" fontId="0" fillId="0" borderId="1" xfId="0" applyNumberFormat="1" applyBorder="1"/>
    <xf numFmtId="164" fontId="2" fillId="2" borderId="8" xfId="0" applyNumberFormat="1" applyFont="1" applyFill="1" applyBorder="1" applyAlignment="1" applyProtection="1">
      <alignment horizontal="center" vertical="center"/>
      <protection locked="0"/>
    </xf>
    <xf numFmtId="0" fontId="0" fillId="0" borderId="15" xfId="0" applyBorder="1" applyProtection="1">
      <protection locked="0"/>
    </xf>
    <xf numFmtId="0" fontId="2" fillId="0" borderId="16" xfId="0" applyFont="1" applyBorder="1" applyProtection="1">
      <protection locked="0"/>
    </xf>
    <xf numFmtId="0" fontId="11" fillId="0" borderId="16" xfId="0" applyFont="1" applyBorder="1" applyAlignment="1" applyProtection="1">
      <alignment horizontal="center" vertical="center"/>
    </xf>
    <xf numFmtId="0" fontId="14" fillId="0" borderId="0" xfId="0" applyFont="1"/>
    <xf numFmtId="164" fontId="2" fillId="2" borderId="7" xfId="0" applyNumberFormat="1" applyFont="1" applyFill="1" applyBorder="1" applyAlignment="1" applyProtection="1">
      <alignment horizontal="center" vertical="center"/>
      <protection locked="0"/>
    </xf>
    <xf numFmtId="165" fontId="2" fillId="0" borderId="2" xfId="0" applyNumberFormat="1" applyFont="1" applyBorder="1" applyAlignment="1" applyProtection="1">
      <alignment horizontal="center" vertical="center"/>
      <protection locked="0"/>
    </xf>
    <xf numFmtId="165" fontId="2" fillId="2" borderId="1" xfId="0" applyNumberFormat="1" applyFont="1" applyFill="1" applyBorder="1" applyProtection="1">
      <protection locked="0"/>
    </xf>
    <xf numFmtId="0" fontId="11"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3" fillId="2" borderId="1" xfId="0" applyFont="1" applyFill="1" applyBorder="1"/>
    <xf numFmtId="11" fontId="13" fillId="2" borderId="1" xfId="0" applyNumberFormat="1" applyFont="1" applyFill="1" applyBorder="1"/>
    <xf numFmtId="0" fontId="2" fillId="2" borderId="1" xfId="0" applyFont="1" applyFill="1" applyBorder="1"/>
    <xf numFmtId="0" fontId="2" fillId="2" borderId="1" xfId="0" applyFont="1" applyFill="1" applyBorder="1" applyAlignment="1">
      <alignment horizontal="center"/>
    </xf>
    <xf numFmtId="167" fontId="2" fillId="2" borderId="1" xfId="0" applyNumberFormat="1" applyFont="1" applyFill="1" applyBorder="1" applyProtection="1">
      <protection hidden="1"/>
    </xf>
    <xf numFmtId="165" fontId="0" fillId="2" borderId="1" xfId="0" applyNumberFormat="1" applyFill="1" applyBorder="1" applyProtection="1">
      <protection hidden="1"/>
    </xf>
    <xf numFmtId="0" fontId="0" fillId="2" borderId="1" xfId="0" applyFill="1" applyBorder="1" applyProtection="1">
      <protection hidden="1"/>
    </xf>
    <xf numFmtId="0" fontId="2" fillId="0" borderId="17" xfId="0" applyFont="1" applyBorder="1" applyProtection="1">
      <protection locked="0"/>
    </xf>
    <xf numFmtId="0" fontId="2" fillId="0" borderId="18" xfId="0" applyFont="1" applyBorder="1" applyAlignment="1" applyProtection="1">
      <alignment wrapText="1"/>
      <protection locked="0"/>
    </xf>
    <xf numFmtId="0" fontId="0" fillId="0" borderId="19" xfId="0"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1" xfId="0" applyBorder="1" applyAlignment="1">
      <alignment vertical="center"/>
    </xf>
    <xf numFmtId="11" fontId="0" fillId="0" borderId="1" xfId="0" applyNumberFormat="1" applyBorder="1" applyAlignment="1">
      <alignment vertical="center"/>
    </xf>
    <xf numFmtId="165" fontId="0" fillId="0" borderId="1" xfId="0" applyNumberFormat="1" applyBorder="1" applyAlignment="1">
      <alignment vertical="center"/>
    </xf>
    <xf numFmtId="167" fontId="1" fillId="0" borderId="1" xfId="0" applyNumberFormat="1" applyFont="1" applyFill="1" applyBorder="1" applyAlignment="1" applyProtection="1">
      <alignment vertical="center"/>
      <protection hidden="1"/>
    </xf>
    <xf numFmtId="165"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16" fillId="3" borderId="1" xfId="0" applyFont="1" applyFill="1" applyBorder="1"/>
    <xf numFmtId="0" fontId="17" fillId="3" borderId="1" xfId="0" applyFont="1" applyFill="1" applyBorder="1"/>
    <xf numFmtId="0" fontId="0" fillId="0" borderId="1" xfId="0" applyFont="1" applyBorder="1" applyAlignment="1">
      <alignment vertical="center" wrapText="1"/>
    </xf>
    <xf numFmtId="0" fontId="18" fillId="3" borderId="1" xfId="0" applyFont="1" applyFill="1" applyBorder="1" applyAlignment="1">
      <alignment vertical="center"/>
    </xf>
    <xf numFmtId="0" fontId="18" fillId="3" borderId="1" xfId="0" applyFont="1" applyFill="1" applyBorder="1"/>
    <xf numFmtId="165" fontId="0" fillId="0" borderId="0" xfId="0" applyNumberFormat="1"/>
    <xf numFmtId="0" fontId="22" fillId="3" borderId="1" xfId="0" applyFont="1" applyFill="1" applyBorder="1"/>
    <xf numFmtId="0" fontId="0" fillId="4" borderId="1" xfId="0" applyFill="1" applyBorder="1" applyAlignment="1">
      <alignment vertical="center"/>
    </xf>
    <xf numFmtId="11" fontId="0" fillId="4" borderId="1" xfId="0" applyNumberFormat="1" applyFill="1" applyBorder="1" applyAlignment="1">
      <alignment vertical="center"/>
    </xf>
    <xf numFmtId="165" fontId="0" fillId="4" borderId="1" xfId="0" applyNumberFormat="1" applyFill="1" applyBorder="1" applyAlignment="1">
      <alignment vertical="center"/>
    </xf>
    <xf numFmtId="0" fontId="0" fillId="4" borderId="1" xfId="0" applyFont="1" applyFill="1" applyBorder="1" applyAlignment="1">
      <alignment vertical="center" wrapText="1"/>
    </xf>
    <xf numFmtId="167" fontId="1" fillId="4" borderId="1" xfId="0" applyNumberFormat="1" applyFont="1" applyFill="1" applyBorder="1" applyAlignment="1" applyProtection="1">
      <alignment vertical="center"/>
      <protection hidden="1"/>
    </xf>
    <xf numFmtId="165" fontId="1" fillId="4" borderId="1" xfId="0" applyNumberFormat="1" applyFont="1" applyFill="1" applyBorder="1" applyAlignment="1" applyProtection="1">
      <alignment vertical="center"/>
      <protection hidden="1"/>
    </xf>
    <xf numFmtId="0" fontId="0" fillId="4" borderId="1" xfId="0" applyFill="1" applyBorder="1" applyAlignment="1" applyProtection="1">
      <alignment vertical="center"/>
      <protection hidden="1"/>
    </xf>
    <xf numFmtId="0" fontId="0" fillId="4" borderId="0" xfId="0" applyFill="1" applyAlignment="1">
      <alignment vertical="center"/>
    </xf>
    <xf numFmtId="165" fontId="0" fillId="0" borderId="0" xfId="0" applyNumberFormat="1" applyProtection="1">
      <protection locked="0"/>
    </xf>
    <xf numFmtId="0" fontId="0" fillId="0" borderId="11" xfId="0" applyFont="1" applyBorder="1" applyProtection="1">
      <protection locked="0"/>
    </xf>
    <xf numFmtId="165" fontId="0" fillId="0" borderId="4" xfId="0" applyNumberFormat="1" applyFont="1" applyBorder="1" applyProtection="1">
      <protection locked="0"/>
    </xf>
    <xf numFmtId="0" fontId="0" fillId="0" borderId="4" xfId="0" applyFont="1" applyBorder="1" applyProtection="1">
      <protection locked="0"/>
    </xf>
    <xf numFmtId="0" fontId="0" fillId="0" borderId="4" xfId="0" applyFont="1" applyFill="1" applyBorder="1" applyProtection="1">
      <protection locked="0"/>
    </xf>
    <xf numFmtId="3" fontId="0" fillId="0" borderId="5" xfId="0" applyNumberFormat="1" applyFont="1" applyBorder="1" applyProtection="1">
      <protection locked="0"/>
    </xf>
    <xf numFmtId="0" fontId="3" fillId="0" borderId="3" xfId="0" applyFont="1" applyBorder="1" applyAlignment="1">
      <alignment wrapText="1"/>
    </xf>
    <xf numFmtId="0" fontId="3" fillId="0" borderId="3" xfId="0" applyFont="1" applyBorder="1" applyAlignment="1">
      <alignment horizontal="center" vertical="center" wrapText="1"/>
    </xf>
    <xf numFmtId="0" fontId="0" fillId="0" borderId="0" xfId="0" applyFont="1"/>
    <xf numFmtId="0" fontId="0" fillId="0" borderId="12" xfId="0" applyFont="1" applyBorder="1" applyProtection="1">
      <protection locked="0"/>
    </xf>
    <xf numFmtId="165" fontId="0" fillId="0" borderId="2" xfId="0" applyNumberFormat="1" applyFont="1" applyBorder="1" applyAlignment="1" applyProtection="1">
      <protection locked="0"/>
    </xf>
    <xf numFmtId="0" fontId="0" fillId="0" borderId="2" xfId="0" applyFont="1" applyBorder="1" applyProtection="1">
      <protection locked="0"/>
    </xf>
    <xf numFmtId="1" fontId="0" fillId="0" borderId="2" xfId="0" applyNumberFormat="1" applyFont="1" applyFill="1" applyBorder="1" applyAlignment="1" applyProtection="1">
      <protection locked="0"/>
    </xf>
    <xf numFmtId="0" fontId="0" fillId="0" borderId="2" xfId="0" applyFont="1" applyFill="1" applyBorder="1" applyProtection="1">
      <protection locked="0"/>
    </xf>
    <xf numFmtId="3" fontId="0" fillId="0" borderId="13" xfId="0" applyNumberFormat="1" applyFont="1" applyBorder="1" applyProtection="1">
      <protection locked="0"/>
    </xf>
    <xf numFmtId="0" fontId="0" fillId="0" borderId="8" xfId="0" applyFont="1" applyBorder="1" applyProtection="1">
      <protection locked="0"/>
    </xf>
    <xf numFmtId="165" fontId="0" fillId="0" borderId="1" xfId="0" applyNumberFormat="1" applyFont="1" applyBorder="1" applyAlignment="1" applyProtection="1">
      <protection locked="0"/>
    </xf>
    <xf numFmtId="0" fontId="0" fillId="0" borderId="1" xfId="0" applyFont="1" applyBorder="1" applyProtection="1">
      <protection locked="0"/>
    </xf>
    <xf numFmtId="0" fontId="0" fillId="0" borderId="1" xfId="0" applyFont="1" applyFill="1" applyBorder="1" applyProtection="1">
      <protection locked="0"/>
    </xf>
    <xf numFmtId="3" fontId="0" fillId="0" borderId="14" xfId="0" applyNumberFormat="1" applyFont="1" applyBorder="1" applyProtection="1">
      <protection locked="0"/>
    </xf>
    <xf numFmtId="165" fontId="0" fillId="0" borderId="1" xfId="0" applyNumberFormat="1" applyFont="1" applyBorder="1" applyProtection="1">
      <protection locked="0"/>
    </xf>
    <xf numFmtId="165" fontId="0" fillId="0" borderId="0" xfId="0" applyNumberFormat="1" applyFont="1"/>
    <xf numFmtId="165" fontId="0" fillId="0" borderId="2" xfId="0" applyNumberFormat="1" applyFont="1" applyBorder="1" applyProtection="1">
      <protection locked="0"/>
    </xf>
    <xf numFmtId="0" fontId="0" fillId="0" borderId="2" xfId="0" applyNumberFormat="1" applyFont="1" applyBorder="1" applyProtection="1">
      <protection locked="0"/>
    </xf>
    <xf numFmtId="0" fontId="0" fillId="0" borderId="1" xfId="0" applyNumberFormat="1" applyFont="1" applyBorder="1" applyProtection="1">
      <protection locked="0"/>
    </xf>
    <xf numFmtId="0" fontId="0" fillId="0" borderId="1" xfId="0" applyFont="1" applyBorder="1"/>
    <xf numFmtId="0" fontId="0" fillId="0" borderId="4" xfId="0" applyFont="1" applyBorder="1"/>
    <xf numFmtId="1" fontId="0" fillId="0" borderId="13" xfId="0" applyNumberFormat="1" applyFont="1" applyBorder="1" applyProtection="1">
      <protection locked="0"/>
    </xf>
    <xf numFmtId="1" fontId="0" fillId="0" borderId="14" xfId="0" applyNumberFormat="1" applyFont="1" applyBorder="1" applyProtection="1">
      <protection locked="0"/>
    </xf>
    <xf numFmtId="1" fontId="0" fillId="0" borderId="14" xfId="0" applyNumberFormat="1" applyFont="1" applyBorder="1"/>
    <xf numFmtId="1" fontId="0" fillId="0" borderId="5" xfId="0" applyNumberFormat="1" applyFont="1" applyBorder="1"/>
    <xf numFmtId="1" fontId="2" fillId="0" borderId="2" xfId="0" applyNumberFormat="1" applyFont="1" applyBorder="1" applyAlignment="1" applyProtection="1">
      <alignment horizontal="center" vertical="center"/>
      <protection locked="0"/>
    </xf>
    <xf numFmtId="0" fontId="23" fillId="0" borderId="0" xfId="0" applyFont="1" applyAlignment="1">
      <alignment wrapText="1"/>
    </xf>
    <xf numFmtId="0" fontId="3" fillId="2" borderId="28" xfId="0" applyFont="1" applyFill="1" applyBorder="1" applyAlignment="1">
      <alignment horizontal="center" wrapText="1"/>
    </xf>
    <xf numFmtId="0" fontId="3" fillId="2" borderId="29" xfId="0" applyFont="1" applyFill="1" applyBorder="1" applyAlignment="1">
      <alignment horizontal="center" wrapText="1"/>
    </xf>
    <xf numFmtId="0" fontId="3" fillId="2" borderId="30" xfId="0" applyFont="1" applyFill="1" applyBorder="1" applyAlignment="1">
      <alignment horizontal="center" wrapText="1"/>
    </xf>
    <xf numFmtId="0" fontId="3" fillId="2" borderId="31" xfId="0" applyFont="1" applyFill="1" applyBorder="1" applyAlignment="1">
      <alignment horizontal="center" wrapText="1"/>
    </xf>
    <xf numFmtId="0" fontId="3" fillId="2" borderId="32" xfId="0" applyFont="1" applyFill="1" applyBorder="1" applyAlignment="1">
      <alignment horizontal="center" wrapText="1"/>
    </xf>
    <xf numFmtId="0" fontId="0" fillId="0" borderId="12" xfId="0" applyBorder="1"/>
    <xf numFmtId="0" fontId="0" fillId="0" borderId="2" xfId="0" applyBorder="1"/>
    <xf numFmtId="0" fontId="0" fillId="5" borderId="13" xfId="0" applyFill="1" applyBorder="1"/>
    <xf numFmtId="0" fontId="3" fillId="5" borderId="33" xfId="0" applyFont="1" applyFill="1" applyBorder="1" applyAlignment="1">
      <alignment horizontal="center"/>
    </xf>
    <xf numFmtId="0" fontId="3" fillId="5" borderId="7" xfId="0" applyFont="1" applyFill="1" applyBorder="1" applyAlignment="1">
      <alignment horizontal="center"/>
    </xf>
    <xf numFmtId="11" fontId="0" fillId="0" borderId="34" xfId="0" applyNumberFormat="1" applyBorder="1"/>
    <xf numFmtId="0" fontId="25" fillId="0" borderId="12" xfId="0" applyFont="1" applyBorder="1" applyAlignment="1">
      <alignment horizontal="center"/>
    </xf>
    <xf numFmtId="0" fontId="0" fillId="0" borderId="13" xfId="0" applyBorder="1"/>
    <xf numFmtId="0" fontId="0" fillId="0" borderId="35" xfId="0" applyBorder="1"/>
    <xf numFmtId="0" fontId="0" fillId="0" borderId="8" xfId="0" applyBorder="1"/>
    <xf numFmtId="0" fontId="0" fillId="0" borderId="14" xfId="0" applyBorder="1"/>
    <xf numFmtId="0" fontId="25" fillId="0" borderId="8" xfId="0" applyFont="1" applyBorder="1" applyAlignment="1">
      <alignment horizontal="center"/>
    </xf>
    <xf numFmtId="0" fontId="0" fillId="0" borderId="11" xfId="0" applyBorder="1"/>
    <xf numFmtId="0" fontId="0" fillId="0" borderId="4" xfId="0" applyBorder="1"/>
    <xf numFmtId="0" fontId="0" fillId="0" borderId="5" xfId="0" applyBorder="1"/>
    <xf numFmtId="0" fontId="26" fillId="0" borderId="11" xfId="0" applyFont="1" applyBorder="1" applyAlignment="1">
      <alignment horizontal="center"/>
    </xf>
    <xf numFmtId="0" fontId="23" fillId="0" borderId="22" xfId="0" applyFont="1" applyBorder="1" applyAlignment="1">
      <alignment horizontal="center" wrapText="1"/>
    </xf>
    <xf numFmtId="0" fontId="23" fillId="0" borderId="23" xfId="0" applyFont="1" applyBorder="1" applyAlignment="1">
      <alignment horizontal="center" wrapText="1"/>
    </xf>
    <xf numFmtId="0" fontId="23" fillId="0" borderId="25" xfId="0" applyFont="1" applyBorder="1" applyAlignment="1">
      <alignment horizontal="center" wrapText="1"/>
    </xf>
    <xf numFmtId="0" fontId="23" fillId="0" borderId="26" xfId="0" applyFont="1" applyBorder="1" applyAlignment="1">
      <alignment horizontal="center" wrapText="1"/>
    </xf>
    <xf numFmtId="0" fontId="23" fillId="0" borderId="24" xfId="0" applyFont="1" applyBorder="1" applyAlignment="1">
      <alignment horizontal="center" wrapText="1"/>
    </xf>
    <xf numFmtId="0" fontId="23" fillId="0" borderId="27" xfId="0" applyFont="1" applyBorder="1" applyAlignment="1">
      <alignment horizontal="center" wrapText="1"/>
    </xf>
    <xf numFmtId="0" fontId="27" fillId="0" borderId="0" xfId="0" applyFont="1" applyAlignment="1">
      <alignment horizontal="center" wrapText="1"/>
    </xf>
    <xf numFmtId="0" fontId="0" fillId="0" borderId="12" xfId="0" applyBorder="1" applyAlignment="1" applyProtection="1">
      <alignment horizontal="center"/>
    </xf>
    <xf numFmtId="0" fontId="0" fillId="0" borderId="2" xfId="0" applyBorder="1" applyAlignment="1" applyProtection="1">
      <alignment horizontal="center"/>
    </xf>
    <xf numFmtId="0" fontId="0" fillId="0" borderId="13" xfId="0" applyBorder="1" applyAlignment="1" applyProtection="1">
      <alignment horizontal="center"/>
    </xf>
    <xf numFmtId="0" fontId="0" fillId="0" borderId="8" xfId="0" applyBorder="1" applyAlignment="1" applyProtection="1">
      <alignment horizontal="center"/>
    </xf>
    <xf numFmtId="0" fontId="0" fillId="0" borderId="1" xfId="0" applyBorder="1" applyAlignment="1" applyProtection="1">
      <alignment horizontal="center"/>
    </xf>
    <xf numFmtId="0" fontId="0" fillId="0" borderId="14" xfId="0" applyBorder="1" applyAlignment="1" applyProtection="1">
      <alignment horizontal="center"/>
    </xf>
    <xf numFmtId="0" fontId="3" fillId="0" borderId="8" xfId="0" applyFont="1" applyBorder="1" applyAlignment="1" applyProtection="1">
      <alignment horizontal="center"/>
    </xf>
    <xf numFmtId="0" fontId="3" fillId="0" borderId="1" xfId="0" applyFont="1" applyBorder="1" applyAlignment="1" applyProtection="1">
      <alignment horizontal="center"/>
    </xf>
    <xf numFmtId="0" fontId="3" fillId="0" borderId="14" xfId="0" applyFont="1" applyBorder="1" applyAlignment="1" applyProtection="1">
      <alignment horizontal="center"/>
    </xf>
    <xf numFmtId="0" fontId="0" fillId="0" borderId="11" xfId="0" applyBorder="1" applyAlignment="1" applyProtection="1">
      <alignment horizontal="center"/>
    </xf>
    <xf numFmtId="0" fontId="0" fillId="0" borderId="4" xfId="0" applyBorder="1" applyAlignment="1" applyProtection="1">
      <alignment horizontal="center"/>
    </xf>
    <xf numFmtId="0" fontId="0" fillId="0" borderId="5" xfId="0" applyBorder="1" applyAlignment="1" applyProtection="1">
      <alignment horizontal="center"/>
    </xf>
  </cellXfs>
  <cellStyles count="1">
    <cellStyle name="Обычный" xfId="0" builtinId="0"/>
  </cellStyles>
  <dxfs count="6">
    <dxf>
      <fill>
        <patternFill>
          <bgColor indexed="11"/>
        </patternFill>
      </fill>
    </dxf>
    <dxf>
      <fill>
        <patternFill>
          <bgColor indexed="26"/>
        </patternFill>
      </fill>
    </dxf>
    <dxf>
      <fill>
        <patternFill>
          <bgColor indexed="11"/>
        </patternFill>
      </fill>
    </dxf>
    <dxf>
      <fill>
        <patternFill>
          <bgColor indexed="27"/>
        </patternFill>
      </fill>
    </dxf>
    <dxf>
      <fill>
        <patternFill>
          <bgColor indexed="15"/>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baseline="0">
                <a:effectLst/>
              </a:rPr>
              <a:t>Рис. </a:t>
            </a:r>
            <a:r>
              <a:rPr lang="en-US" sz="1400" b="1" i="0" baseline="0">
                <a:effectLst/>
              </a:rPr>
              <a:t>10</a:t>
            </a:r>
            <a:r>
              <a:rPr lang="ru-RU" sz="1400" b="1" i="0" baseline="0">
                <a:effectLst/>
              </a:rPr>
              <a:t>.1  Зависимость </a:t>
            </a:r>
            <a:r>
              <a:rPr lang="ru-RU" sz="1400" b="1" i="1" baseline="0">
                <a:effectLst/>
              </a:rPr>
              <a:t>Колличества итераций</a:t>
            </a:r>
            <a:r>
              <a:rPr lang="ru-RU" sz="1400" b="1" i="0" baseline="0">
                <a:effectLst/>
              </a:rPr>
              <a:t> от </a:t>
            </a:r>
            <a:r>
              <a:rPr lang="ru-RU" sz="1400" b="1" i="1" baseline="0">
                <a:effectLst/>
              </a:rPr>
              <a:t>Допустимой погрешности</a:t>
            </a:r>
            <a:endParaRPr lang="ru-KG"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sheet5!$G$11</c:f>
              <c:strCache>
                <c:ptCount val="1"/>
                <c:pt idx="0">
                  <c:v>Количество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sheet5!$H$12:$H$24</c:f>
              <c:numCache>
                <c:formatCode>General</c:formatCode>
                <c:ptCount val="13"/>
                <c:pt idx="0">
                  <c:v>1.0000000000000002E-3</c:v>
                </c:pt>
                <c:pt idx="1">
                  <c:v>1.0000000000000003E-4</c:v>
                </c:pt>
                <c:pt idx="2">
                  <c:v>1.0000000000000006E-5</c:v>
                </c:pt>
                <c:pt idx="3">
                  <c:v>1.0000000000000006E-6</c:v>
                </c:pt>
                <c:pt idx="4">
                  <c:v>1.0000000000000006E-7</c:v>
                </c:pt>
                <c:pt idx="5">
                  <c:v>1.0000000000000008E-8</c:v>
                </c:pt>
                <c:pt idx="6">
                  <c:v>1.0000000000000009E-9</c:v>
                </c:pt>
                <c:pt idx="7">
                  <c:v>1.0000000000000009E-10</c:v>
                </c:pt>
                <c:pt idx="8">
                  <c:v>1.0000000000000011E-11</c:v>
                </c:pt>
                <c:pt idx="9">
                  <c:v>1.0000000000000012E-12</c:v>
                </c:pt>
                <c:pt idx="10">
                  <c:v>1.0000000000000014E-13</c:v>
                </c:pt>
                <c:pt idx="11">
                  <c:v>1E-14</c:v>
                </c:pt>
                <c:pt idx="12">
                  <c:v>1.0000000000000001E-15</c:v>
                </c:pt>
              </c:numCache>
            </c:numRef>
          </c:cat>
          <c:val>
            <c:numRef>
              <c:f>sheet5!$G$12:$G$24</c:f>
              <c:numCache>
                <c:formatCode>General</c:formatCode>
                <c:ptCount val="13"/>
                <c:pt idx="0" formatCode="0">
                  <c:v>65</c:v>
                </c:pt>
                <c:pt idx="1">
                  <c:v>70</c:v>
                </c:pt>
                <c:pt idx="2">
                  <c:v>75</c:v>
                </c:pt>
                <c:pt idx="3">
                  <c:v>80</c:v>
                </c:pt>
                <c:pt idx="4">
                  <c:v>84</c:v>
                </c:pt>
                <c:pt idx="5">
                  <c:v>89</c:v>
                </c:pt>
                <c:pt idx="6">
                  <c:v>94</c:v>
                </c:pt>
                <c:pt idx="7">
                  <c:v>99</c:v>
                </c:pt>
                <c:pt idx="8">
                  <c:v>104</c:v>
                </c:pt>
                <c:pt idx="9">
                  <c:v>108</c:v>
                </c:pt>
                <c:pt idx="10">
                  <c:v>113</c:v>
                </c:pt>
                <c:pt idx="11">
                  <c:v>118</c:v>
                </c:pt>
                <c:pt idx="12">
                  <c:v>123</c:v>
                </c:pt>
              </c:numCache>
            </c:numRef>
          </c:val>
          <c:smooth val="0"/>
          <c:extLst>
            <c:ext xmlns:c16="http://schemas.microsoft.com/office/drawing/2014/chart" uri="{C3380CC4-5D6E-409C-BE32-E72D297353CC}">
              <c16:uniqueId val="{00000000-CEBA-4B13-925D-0563D934EF21}"/>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Допустимая</a:t>
                </a:r>
                <a:r>
                  <a:rPr lang="ru-RU" sz="1400" b="1" baseline="0"/>
                  <a:t> </a:t>
                </a:r>
                <a:r>
                  <a:rPr lang="ru-RU" sz="1400" b="1"/>
                  <a:t>погрешность</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6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baseline="0">
                <a:effectLst/>
              </a:rPr>
              <a:t>Рис. </a:t>
            </a:r>
            <a:r>
              <a:rPr lang="en-US" sz="1400" b="1" i="0" baseline="0">
                <a:effectLst/>
              </a:rPr>
              <a:t>10</a:t>
            </a:r>
            <a:r>
              <a:rPr lang="ru-RU" sz="1400" b="1" i="0" baseline="0">
                <a:effectLst/>
              </a:rPr>
              <a:t>.2  Зависимость </a:t>
            </a:r>
            <a:r>
              <a:rPr lang="ru-RU" sz="1400" b="1" i="1" baseline="0">
                <a:effectLst/>
              </a:rPr>
              <a:t>Колличества итераций</a:t>
            </a:r>
            <a:r>
              <a:rPr lang="ru-RU" sz="1400" b="1" i="0" baseline="0">
                <a:effectLst/>
              </a:rPr>
              <a:t> от </a:t>
            </a:r>
            <a:r>
              <a:rPr lang="ru-RU" sz="1400" b="1" i="1" baseline="0">
                <a:effectLst/>
              </a:rPr>
              <a:t>Размера области поиска</a:t>
            </a:r>
            <a:endParaRPr lang="ru-KG"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sheet5!$G$27</c:f>
              <c:strCache>
                <c:ptCount val="1"/>
                <c:pt idx="0">
                  <c:v>Количество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sheet5!$I$28:$I$45</c:f>
              <c:numCache>
                <c:formatCode>0</c:formatCode>
                <c:ptCount val="18"/>
                <c:pt idx="0">
                  <c:v>1E+17</c:v>
                </c:pt>
                <c:pt idx="1">
                  <c:v>1E+16</c:v>
                </c:pt>
                <c:pt idx="2">
                  <c:v>1000000000000000</c:v>
                </c:pt>
                <c:pt idx="3">
                  <c:v>100000000000000</c:v>
                </c:pt>
                <c:pt idx="4">
                  <c:v>10000000000000</c:v>
                </c:pt>
                <c:pt idx="5">
                  <c:v>1000000000000</c:v>
                </c:pt>
                <c:pt idx="6">
                  <c:v>100000000000</c:v>
                </c:pt>
                <c:pt idx="7">
                  <c:v>10000000000</c:v>
                </c:pt>
                <c:pt idx="8">
                  <c:v>1000000000</c:v>
                </c:pt>
                <c:pt idx="9">
                  <c:v>100000000</c:v>
                </c:pt>
                <c:pt idx="10">
                  <c:v>10000000</c:v>
                </c:pt>
                <c:pt idx="11">
                  <c:v>1000000</c:v>
                </c:pt>
                <c:pt idx="12">
                  <c:v>100000</c:v>
                </c:pt>
                <c:pt idx="13">
                  <c:v>10000</c:v>
                </c:pt>
                <c:pt idx="14">
                  <c:v>1000</c:v>
                </c:pt>
                <c:pt idx="15">
                  <c:v>100</c:v>
                </c:pt>
                <c:pt idx="16">
                  <c:v>10</c:v>
                </c:pt>
                <c:pt idx="17">
                  <c:v>1</c:v>
                </c:pt>
              </c:numCache>
            </c:numRef>
          </c:cat>
          <c:val>
            <c:numRef>
              <c:f>sheet5!$G$28:$G$45</c:f>
              <c:numCache>
                <c:formatCode>General</c:formatCode>
                <c:ptCount val="18"/>
                <c:pt idx="0">
                  <c:v>123</c:v>
                </c:pt>
                <c:pt idx="1">
                  <c:v>118</c:v>
                </c:pt>
                <c:pt idx="2">
                  <c:v>113</c:v>
                </c:pt>
                <c:pt idx="3">
                  <c:v>108</c:v>
                </c:pt>
                <c:pt idx="4">
                  <c:v>104</c:v>
                </c:pt>
                <c:pt idx="5">
                  <c:v>99</c:v>
                </c:pt>
                <c:pt idx="6">
                  <c:v>94</c:v>
                </c:pt>
                <c:pt idx="7">
                  <c:v>89</c:v>
                </c:pt>
                <c:pt idx="8">
                  <c:v>85</c:v>
                </c:pt>
                <c:pt idx="9">
                  <c:v>80</c:v>
                </c:pt>
                <c:pt idx="10">
                  <c:v>75</c:v>
                </c:pt>
                <c:pt idx="11">
                  <c:v>70</c:v>
                </c:pt>
                <c:pt idx="12">
                  <c:v>65</c:v>
                </c:pt>
                <c:pt idx="13">
                  <c:v>61</c:v>
                </c:pt>
                <c:pt idx="14">
                  <c:v>56</c:v>
                </c:pt>
                <c:pt idx="15">
                  <c:v>51</c:v>
                </c:pt>
                <c:pt idx="16">
                  <c:v>46</c:v>
                </c:pt>
                <c:pt idx="17">
                  <c:v>41</c:v>
                </c:pt>
              </c:numCache>
            </c:numRef>
          </c:val>
          <c:smooth val="0"/>
          <c:extLst>
            <c:ext xmlns:c16="http://schemas.microsoft.com/office/drawing/2014/chart" uri="{C3380CC4-5D6E-409C-BE32-E72D297353CC}">
              <c16:uniqueId val="{00000000-0F84-4F2C-BC26-7F1E6F0ACC53}"/>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Размер</a:t>
                </a:r>
                <a:r>
                  <a:rPr lang="ru-RU" sz="1400" b="1" baseline="0"/>
                  <a:t> области поиска</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2"/>
        <c:noMultiLvlLbl val="0"/>
      </c:catAx>
      <c:valAx>
        <c:axId val="1656939808"/>
        <c:scaling>
          <c:orientation val="minMax"/>
          <c:min val="36"/>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2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1" fmlaRange="$H$4:$H$24" noThreeD="1" sel="1" val="0"/>
</file>

<file path=xl/ctrlProps/ctrlProp2.xml><?xml version="1.0" encoding="utf-8"?>
<formControlPr xmlns="http://schemas.microsoft.com/office/spreadsheetml/2009/9/main" objectType="List" dx="16" fmlaLink="H6" fmlaRange="G5:G6" sel="2" val="0"/>
</file>

<file path=xl/ctrlProps/ctrlProp3.xml><?xml version="1.0" encoding="utf-8"?>
<formControlPr xmlns="http://schemas.microsoft.com/office/spreadsheetml/2009/9/main" objectType="Drop" dropLines="13" dropStyle="combo" dx="16" fmlaLink="$P$6" fmlaRange="$O$7:$O$21" sel="15" val="2"/>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5</xdr:row>
          <xdr:rowOff>0</xdr:rowOff>
        </xdr:from>
        <xdr:to>
          <xdr:col>5</xdr:col>
          <xdr:colOff>161925</xdr:colOff>
          <xdr:row>21</xdr:row>
          <xdr:rowOff>47625</xdr:rowOff>
        </xdr:to>
        <xdr:sp macro="" textlink="">
          <xdr:nvSpPr>
            <xdr:cNvPr id="8193" name="List Box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4</xdr:row>
          <xdr:rowOff>9525</xdr:rowOff>
        </xdr:from>
        <xdr:to>
          <xdr:col>8</xdr:col>
          <xdr:colOff>0</xdr:colOff>
          <xdr:row>6</xdr:row>
          <xdr:rowOff>28575</xdr:rowOff>
        </xdr:to>
        <xdr:sp macro="" textlink="">
          <xdr:nvSpPr>
            <xdr:cNvPr id="1272" name="List Box 248" hidden="1">
              <a:extLst>
                <a:ext uri="{63B3BB69-23CF-44E3-9099-C40C66FF867C}">
                  <a14:compatExt spid="_x0000_s1272"/>
                </a:ext>
                <a:ext uri="{FF2B5EF4-FFF2-40B4-BE49-F238E27FC236}">
                  <a16:creationId xmlns:a16="http://schemas.microsoft.com/office/drawing/2014/main" id="{00000000-0008-0000-03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542925</xdr:rowOff>
        </xdr:from>
        <xdr:to>
          <xdr:col>9</xdr:col>
          <xdr:colOff>9525</xdr:colOff>
          <xdr:row>5</xdr:row>
          <xdr:rowOff>190500</xdr:rowOff>
        </xdr:to>
        <xdr:sp macro="" textlink="">
          <xdr:nvSpPr>
            <xdr:cNvPr id="1274" name="Drop Down 250" hidden="1">
              <a:extLst>
                <a:ext uri="{63B3BB69-23CF-44E3-9099-C40C66FF867C}">
                  <a14:compatExt spid="_x0000_s1274"/>
                </a:ext>
                <a:ext uri="{FF2B5EF4-FFF2-40B4-BE49-F238E27FC236}">
                  <a16:creationId xmlns:a16="http://schemas.microsoft.com/office/drawing/2014/main" id="{00000000-0008-0000-03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54428</xdr:colOff>
      <xdr:row>5</xdr:row>
      <xdr:rowOff>149678</xdr:rowOff>
    </xdr:from>
    <xdr:to>
      <xdr:col>21</xdr:col>
      <xdr:colOff>54428</xdr:colOff>
      <xdr:row>23</xdr:row>
      <xdr:rowOff>108858</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78919</xdr:colOff>
      <xdr:row>26</xdr:row>
      <xdr:rowOff>518430</xdr:rowOff>
    </xdr:from>
    <xdr:to>
      <xdr:col>21</xdr:col>
      <xdr:colOff>136070</xdr:colOff>
      <xdr:row>47</xdr:row>
      <xdr:rowOff>81643</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TenIG_FromPOCS-26.09.11\MO_24.09.10\MO_POVT&amp;IVT-1-11\MO_Labs_IVT(&#1073;)-1-11_2013.09.03\MO_LabWork%2310(Ver-2)_IVT(b)-1-11_2013.09.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3"/>
      <sheetName val="sheet4"/>
      <sheetName val="sheet5"/>
    </sheetNames>
    <sheetDataSet>
      <sheetData sheetId="0"/>
      <sheetData sheetId="1"/>
      <sheetData sheetId="2">
        <row r="7">
          <cell r="H7">
            <v>1</v>
          </cell>
          <cell r="I7">
            <v>1E+17</v>
          </cell>
        </row>
      </sheetData>
      <sheetData sheetId="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G7" sqref="G7"/>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61</v>
      </c>
    </row>
    <row r="3" spans="1:11" x14ac:dyDescent="0.2">
      <c r="A3" s="55" t="s">
        <v>1</v>
      </c>
      <c r="B3" s="56" t="s">
        <v>53</v>
      </c>
      <c r="C3" s="56" t="s">
        <v>54</v>
      </c>
      <c r="D3" s="56" t="s">
        <v>55</v>
      </c>
      <c r="E3" s="56" t="s">
        <v>56</v>
      </c>
      <c r="F3" s="56" t="s">
        <v>57</v>
      </c>
      <c r="G3" s="56" t="s">
        <v>60</v>
      </c>
      <c r="H3" s="56" t="s">
        <v>62</v>
      </c>
      <c r="I3" s="56" t="s">
        <v>58</v>
      </c>
      <c r="J3" s="56" t="s">
        <v>59</v>
      </c>
      <c r="K3" s="57" t="s">
        <v>18</v>
      </c>
    </row>
    <row r="4" spans="1:11" ht="12" customHeight="1" x14ac:dyDescent="0.2">
      <c r="A4" s="58">
        <v>0</v>
      </c>
      <c r="B4" s="59">
        <v>1E+20</v>
      </c>
      <c r="C4" s="58">
        <v>0</v>
      </c>
      <c r="D4" s="58">
        <v>400</v>
      </c>
      <c r="E4" s="58">
        <v>1.1100000000000001</v>
      </c>
      <c r="F4" s="60">
        <v>1.0000000000000001E-5</v>
      </c>
      <c r="G4" s="59">
        <v>400000</v>
      </c>
      <c r="H4" s="61" t="s">
        <v>2</v>
      </c>
      <c r="I4" s="62">
        <f>2*E4*D4/(2*E4-1)</f>
        <v>727.86885245901635</v>
      </c>
      <c r="J4" s="63">
        <f t="shared" ref="J4:J67" si="0">(K4*D4/G4)^(1/(2*E4))</f>
        <v>45462954.695323914</v>
      </c>
      <c r="K4" s="64">
        <f>B4/((1+C4)^(2*E4))</f>
        <v>1E+20</v>
      </c>
    </row>
    <row r="5" spans="1:11" s="76" customFormat="1" ht="15.75" hidden="1" customHeight="1" x14ac:dyDescent="0.2">
      <c r="A5" s="70">
        <v>1</v>
      </c>
      <c r="B5" s="71">
        <v>3.05E+36</v>
      </c>
      <c r="C5" s="70">
        <v>1.012</v>
      </c>
      <c r="D5" s="70">
        <v>7350</v>
      </c>
      <c r="E5" s="70">
        <v>2.7771999999999699</v>
      </c>
      <c r="F5" s="70">
        <v>1.0000000000000001E-5</v>
      </c>
      <c r="G5" s="72">
        <v>101020</v>
      </c>
      <c r="H5" s="79" t="s">
        <v>63</v>
      </c>
      <c r="I5" s="73">
        <f t="shared" ref="I5:I68" si="1">2*E5*D5/(2*E5-1)</f>
        <v>8963.8239943790832</v>
      </c>
      <c r="J5" s="74">
        <f t="shared" si="0"/>
        <v>1148174.841445196</v>
      </c>
      <c r="K5" s="75">
        <f t="shared" ref="K5:K68" si="2">B5/((1+C5)^(2*E5))</f>
        <v>6.2781054685220949E+34</v>
      </c>
    </row>
    <row r="6" spans="1:11" s="91" customFormat="1" ht="15.75" customHeight="1" x14ac:dyDescent="0.2">
      <c r="A6" s="84">
        <v>2</v>
      </c>
      <c r="B6" s="85">
        <v>3.0999999999999999E+36</v>
      </c>
      <c r="C6" s="84">
        <v>1.024</v>
      </c>
      <c r="D6" s="84">
        <v>7370</v>
      </c>
      <c r="E6" s="84">
        <v>2.78829999999996</v>
      </c>
      <c r="F6" s="84">
        <v>1.0000000000000001E-5</v>
      </c>
      <c r="G6" s="86">
        <v>101040</v>
      </c>
      <c r="H6" s="87" t="s">
        <v>64</v>
      </c>
      <c r="I6" s="88">
        <f t="shared" si="1"/>
        <v>8980.3657737185094</v>
      </c>
      <c r="J6" s="89">
        <f t="shared" si="0"/>
        <v>1080326.2091186845</v>
      </c>
      <c r="K6" s="90">
        <f t="shared" si="2"/>
        <v>6.0778247591187063E+34</v>
      </c>
    </row>
    <row r="7" spans="1:11" s="76" customFormat="1" ht="15.75" customHeight="1" x14ac:dyDescent="0.2">
      <c r="A7" s="70">
        <v>3</v>
      </c>
      <c r="B7" s="71">
        <v>3.1499999999999999E+36</v>
      </c>
      <c r="C7" s="70">
        <v>1.036</v>
      </c>
      <c r="D7" s="70">
        <v>7390</v>
      </c>
      <c r="E7" s="70">
        <v>2.7993999999999502</v>
      </c>
      <c r="F7" s="70">
        <v>1.0000000000000001E-5</v>
      </c>
      <c r="G7" s="72">
        <v>101060</v>
      </c>
      <c r="H7" s="79" t="s">
        <v>65</v>
      </c>
      <c r="I7" s="73">
        <f t="shared" si="1"/>
        <v>8996.9409411151082</v>
      </c>
      <c r="J7" s="74">
        <f t="shared" si="0"/>
        <v>1016917.2506178399</v>
      </c>
      <c r="K7" s="75">
        <f t="shared" si="2"/>
        <v>5.8820072381464851E+34</v>
      </c>
    </row>
    <row r="8" spans="1:11" s="76" customFormat="1" ht="15.75" customHeight="1" x14ac:dyDescent="0.2">
      <c r="A8" s="70">
        <v>4</v>
      </c>
      <c r="B8" s="71">
        <v>3.1999999999999999E+36</v>
      </c>
      <c r="C8" s="70">
        <v>1.048</v>
      </c>
      <c r="D8" s="70">
        <v>7410</v>
      </c>
      <c r="E8" s="70">
        <v>2.8104999999999398</v>
      </c>
      <c r="F8" s="70">
        <v>1.0000000000000001E-5</v>
      </c>
      <c r="G8" s="72">
        <v>101080</v>
      </c>
      <c r="H8" s="79" t="s">
        <v>66</v>
      </c>
      <c r="I8" s="73">
        <f t="shared" si="1"/>
        <v>9013.5490153646806</v>
      </c>
      <c r="J8" s="74">
        <f t="shared" si="0"/>
        <v>957631.87444918393</v>
      </c>
      <c r="K8" s="75">
        <f t="shared" si="2"/>
        <v>5.6906819851606197E+34</v>
      </c>
    </row>
    <row r="9" spans="1:11" s="76" customFormat="1" ht="15.75" customHeight="1" x14ac:dyDescent="0.2">
      <c r="A9" s="70">
        <v>5</v>
      </c>
      <c r="B9" s="71">
        <v>3.2499999999999999E+36</v>
      </c>
      <c r="C9" s="70">
        <v>1.06</v>
      </c>
      <c r="D9" s="70">
        <v>7430</v>
      </c>
      <c r="E9" s="70">
        <v>2.8215999999999299</v>
      </c>
      <c r="F9" s="70">
        <v>1.0000000000000001E-5</v>
      </c>
      <c r="G9" s="72">
        <v>101100</v>
      </c>
      <c r="H9" s="79" t="s">
        <v>67</v>
      </c>
      <c r="I9" s="73">
        <f t="shared" si="1"/>
        <v>9030.1895244659354</v>
      </c>
      <c r="J9" s="74">
        <f t="shared" si="0"/>
        <v>902178.14544177451</v>
      </c>
      <c r="K9" s="75">
        <f t="shared" si="2"/>
        <v>5.5038661418898251E+34</v>
      </c>
    </row>
    <row r="10" spans="1:11" s="76" customFormat="1" ht="15.75" customHeight="1" x14ac:dyDescent="0.2">
      <c r="A10" s="70">
        <v>6</v>
      </c>
      <c r="B10" s="71">
        <v>3.2999999999999999E+36</v>
      </c>
      <c r="C10" s="70">
        <v>1.0720000000000001</v>
      </c>
      <c r="D10" s="70">
        <v>7450</v>
      </c>
      <c r="E10" s="70">
        <v>2.8326999999999201</v>
      </c>
      <c r="F10" s="70">
        <v>1.0000000000000001E-5</v>
      </c>
      <c r="G10" s="72">
        <v>101120</v>
      </c>
      <c r="H10" s="79" t="s">
        <v>68</v>
      </c>
      <c r="I10" s="73">
        <f t="shared" si="1"/>
        <v>9046.8620054015209</v>
      </c>
      <c r="J10" s="74">
        <f t="shared" si="0"/>
        <v>850286.32614066824</v>
      </c>
      <c r="K10" s="75">
        <f t="shared" si="2"/>
        <v>5.3215658939965351E+34</v>
      </c>
    </row>
    <row r="11" spans="1:11" s="76" customFormat="1" ht="15.75" customHeight="1" x14ac:dyDescent="0.2">
      <c r="A11" s="70">
        <v>7</v>
      </c>
      <c r="B11" s="71">
        <v>3.3499999999999998E+36</v>
      </c>
      <c r="C11" s="70">
        <v>1.0840000000000001</v>
      </c>
      <c r="D11" s="70">
        <v>7470</v>
      </c>
      <c r="E11" s="70">
        <v>2.8437999999999102</v>
      </c>
      <c r="F11" s="70">
        <v>1.0000000000000001E-5</v>
      </c>
      <c r="G11" s="72">
        <v>101140</v>
      </c>
      <c r="H11" s="79" t="s">
        <v>69</v>
      </c>
      <c r="I11" s="73">
        <f t="shared" si="1"/>
        <v>9063.5660039253107</v>
      </c>
      <c r="J11" s="74">
        <f t="shared" si="0"/>
        <v>801707.08480953577</v>
      </c>
      <c r="K11" s="75">
        <f t="shared" si="2"/>
        <v>5.1437773922844837E+34</v>
      </c>
    </row>
    <row r="12" spans="1:11" s="76" customFormat="1" ht="15.75" customHeight="1" x14ac:dyDescent="0.2">
      <c r="A12" s="70">
        <v>8</v>
      </c>
      <c r="B12" s="71">
        <v>3.3999999999999998E+36</v>
      </c>
      <c r="C12" s="70">
        <v>1.0960000000000001</v>
      </c>
      <c r="D12" s="70">
        <v>7490</v>
      </c>
      <c r="E12" s="70">
        <v>2.8548999999998999</v>
      </c>
      <c r="F12" s="70">
        <v>1.0000000000000001E-5</v>
      </c>
      <c r="G12" s="72">
        <v>101160</v>
      </c>
      <c r="H12" s="79" t="s">
        <v>70</v>
      </c>
      <c r="I12" s="73">
        <f t="shared" si="1"/>
        <v>9080.3010743556679</v>
      </c>
      <c r="J12" s="74">
        <f t="shared" si="0"/>
        <v>756209.85535602528</v>
      </c>
      <c r="K12" s="75">
        <f t="shared" si="2"/>
        <v>4.9704876165806217E+34</v>
      </c>
    </row>
    <row r="13" spans="1:11" s="76" customFormat="1" ht="15.75" customHeight="1" x14ac:dyDescent="0.2">
      <c r="A13" s="70">
        <v>9</v>
      </c>
      <c r="B13" s="71">
        <v>3.4499999999999998E+36</v>
      </c>
      <c r="C13" s="70">
        <v>1.1080000000000001</v>
      </c>
      <c r="D13" s="70">
        <v>7510</v>
      </c>
      <c r="E13" s="70">
        <v>2.86599999999989</v>
      </c>
      <c r="F13" s="70">
        <v>1.0000000000000001E-5</v>
      </c>
      <c r="G13" s="72">
        <v>101180</v>
      </c>
      <c r="H13" s="79" t="s">
        <v>71</v>
      </c>
      <c r="I13" s="73">
        <f t="shared" si="1"/>
        <v>9097.0667793745451</v>
      </c>
      <c r="J13" s="74">
        <f t="shared" si="0"/>
        <v>713581.33581329416</v>
      </c>
      <c r="K13" s="75">
        <f t="shared" si="2"/>
        <v>4.8016751853612302E+34</v>
      </c>
    </row>
    <row r="14" spans="1:11" s="76" customFormat="1" ht="15.75" customHeight="1" x14ac:dyDescent="0.2">
      <c r="A14" s="70">
        <v>10</v>
      </c>
      <c r="B14" s="71">
        <v>3.4999999999999998E+36</v>
      </c>
      <c r="C14" s="70">
        <v>1.1200000000000001</v>
      </c>
      <c r="D14" s="70">
        <v>7530</v>
      </c>
      <c r="E14" s="70">
        <v>2.8770999999998801</v>
      </c>
      <c r="F14" s="70">
        <v>1.0000000000000001E-5</v>
      </c>
      <c r="G14" s="72">
        <v>101200</v>
      </c>
      <c r="H14" s="79" t="s">
        <v>72</v>
      </c>
      <c r="I14" s="73">
        <f t="shared" si="1"/>
        <v>9113.8626898322273</v>
      </c>
      <c r="J14" s="74">
        <f t="shared" si="0"/>
        <v>673624.11321357719</v>
      </c>
      <c r="K14" s="75">
        <f t="shared" si="2"/>
        <v>4.6373111140432745E+34</v>
      </c>
    </row>
    <row r="15" spans="1:11" s="76" customFormat="1" ht="15.75" customHeight="1" x14ac:dyDescent="0.2">
      <c r="A15" s="70">
        <v>11</v>
      </c>
      <c r="B15" s="71">
        <v>3.5499999999999998E+36</v>
      </c>
      <c r="C15" s="70">
        <v>1.1319999999999999</v>
      </c>
      <c r="D15" s="70">
        <v>7550</v>
      </c>
      <c r="E15" s="70">
        <v>2.8881999999998702</v>
      </c>
      <c r="F15" s="70">
        <v>1.0000000000000001E-5</v>
      </c>
      <c r="G15" s="72">
        <v>101220</v>
      </c>
      <c r="H15" s="79" t="s">
        <v>73</v>
      </c>
      <c r="I15" s="73">
        <f t="shared" si="1"/>
        <v>9130.6883845574939</v>
      </c>
      <c r="J15" s="74">
        <f t="shared" si="0"/>
        <v>636155.40378360823</v>
      </c>
      <c r="K15" s="75">
        <f t="shared" si="2"/>
        <v>4.4773595247191657E+34</v>
      </c>
    </row>
    <row r="16" spans="1:11" s="76" customFormat="1" ht="15.75" customHeight="1" x14ac:dyDescent="0.2">
      <c r="A16" s="70">
        <v>12</v>
      </c>
      <c r="B16" s="71">
        <v>3.5999999999999997E+36</v>
      </c>
      <c r="C16" s="70">
        <v>1.1439999999999999</v>
      </c>
      <c r="D16" s="70">
        <v>7570</v>
      </c>
      <c r="E16" s="70">
        <v>2.8992999999998599</v>
      </c>
      <c r="F16" s="70">
        <v>1.0000000000000001E-5</v>
      </c>
      <c r="G16" s="72">
        <v>101240</v>
      </c>
      <c r="H16" s="79" t="s">
        <v>74</v>
      </c>
      <c r="I16" s="73">
        <f t="shared" si="1"/>
        <v>9147.5434501730597</v>
      </c>
      <c r="J16" s="74">
        <f t="shared" si="0"/>
        <v>601005.89838730998</v>
      </c>
      <c r="K16" s="75">
        <f t="shared" si="2"/>
        <v>4.3217783099774785E+34</v>
      </c>
    </row>
    <row r="17" spans="1:11" s="76" customFormat="1" ht="15.75" customHeight="1" x14ac:dyDescent="0.2">
      <c r="A17" s="70">
        <v>13</v>
      </c>
      <c r="B17" s="71">
        <v>3.6499999999999997E+36</v>
      </c>
      <c r="C17" s="70">
        <v>1.1559999999999999</v>
      </c>
      <c r="D17" s="70">
        <v>7590</v>
      </c>
      <c r="E17" s="70">
        <v>2.91039999999985</v>
      </c>
      <c r="F17" s="70">
        <v>1.0000000000000001E-5</v>
      </c>
      <c r="G17" s="72">
        <v>101260</v>
      </c>
      <c r="H17" s="79" t="s">
        <v>75</v>
      </c>
      <c r="I17" s="73">
        <f t="shared" si="1"/>
        <v>9164.4274809161288</v>
      </c>
      <c r="J17" s="74">
        <f t="shared" si="0"/>
        <v>568018.70404640539</v>
      </c>
      <c r="K17" s="75">
        <f t="shared" si="2"/>
        <v>4.1705197533225364E+34</v>
      </c>
    </row>
    <row r="18" spans="1:11" s="76" customFormat="1" ht="15.75" customHeight="1" x14ac:dyDescent="0.2">
      <c r="A18" s="70">
        <v>14</v>
      </c>
      <c r="B18" s="71">
        <v>3.7000000000000003E+36</v>
      </c>
      <c r="C18" s="70">
        <v>1.1679999999999999</v>
      </c>
      <c r="D18" s="70">
        <v>7610</v>
      </c>
      <c r="E18" s="70">
        <v>2.9214999999998401</v>
      </c>
      <c r="F18" s="70">
        <v>1.0000000000000001E-5</v>
      </c>
      <c r="G18" s="72">
        <v>101280</v>
      </c>
      <c r="H18" s="79" t="s">
        <v>76</v>
      </c>
      <c r="I18" s="73">
        <f t="shared" si="1"/>
        <v>9181.3400784638652</v>
      </c>
      <c r="J18" s="74">
        <f t="shared" si="0"/>
        <v>537048.37319273863</v>
      </c>
      <c r="K18" s="75">
        <f t="shared" si="2"/>
        <v>4.0235311085818958E+34</v>
      </c>
    </row>
    <row r="19" spans="1:11" s="76" customFormat="1" ht="15.75" customHeight="1" x14ac:dyDescent="0.2">
      <c r="A19" s="70">
        <v>15</v>
      </c>
      <c r="B19" s="71">
        <v>3.7500000000000003E+36</v>
      </c>
      <c r="C19" s="70">
        <v>1.18</v>
      </c>
      <c r="D19" s="70">
        <v>7630</v>
      </c>
      <c r="E19" s="70">
        <v>2.9325999999998298</v>
      </c>
      <c r="F19" s="70">
        <v>1.0000000000000001E-5</v>
      </c>
      <c r="G19" s="72">
        <v>101300</v>
      </c>
      <c r="H19" s="83" t="s">
        <v>77</v>
      </c>
      <c r="I19" s="73">
        <f t="shared" si="1"/>
        <v>9198.2808517636549</v>
      </c>
      <c r="J19" s="74">
        <f t="shared" si="0"/>
        <v>507960.01305431232</v>
      </c>
      <c r="K19" s="75">
        <f t="shared" si="2"/>
        <v>3.8807551405731128E+34</v>
      </c>
    </row>
    <row r="20" spans="1:11" s="76" customFormat="1" ht="15.75" customHeight="1" x14ac:dyDescent="0.2">
      <c r="A20" s="70">
        <v>16</v>
      </c>
      <c r="B20" s="71">
        <v>3.8000000000000002E+36</v>
      </c>
      <c r="C20" s="70">
        <v>1.1919999999999999</v>
      </c>
      <c r="D20" s="70">
        <v>7650</v>
      </c>
      <c r="E20" s="70">
        <v>2.9436999999998199</v>
      </c>
      <c r="F20" s="70">
        <v>1.0000000000000001E-5</v>
      </c>
      <c r="G20" s="72">
        <v>101320</v>
      </c>
      <c r="H20" s="83" t="s">
        <v>78</v>
      </c>
      <c r="I20" s="73">
        <f t="shared" si="1"/>
        <v>9215.2494168679787</v>
      </c>
      <c r="J20" s="74">
        <f t="shared" si="0"/>
        <v>480628.46825707681</v>
      </c>
      <c r="K20" s="75">
        <f t="shared" si="2"/>
        <v>3.7421306291882226E+34</v>
      </c>
    </row>
    <row r="21" spans="1:11" s="76" customFormat="1" ht="15.75" customHeight="1" x14ac:dyDescent="0.2">
      <c r="A21" s="70">
        <v>17</v>
      </c>
      <c r="B21" s="71">
        <v>3.8500000000000002E+36</v>
      </c>
      <c r="C21" s="70">
        <v>1.204</v>
      </c>
      <c r="D21" s="70">
        <v>7670</v>
      </c>
      <c r="E21" s="70">
        <v>2.95479999999981</v>
      </c>
      <c r="F21" s="70">
        <v>1.0000000000000001E-5</v>
      </c>
      <c r="G21" s="72">
        <v>101340</v>
      </c>
      <c r="H21" s="83" t="s">
        <v>79</v>
      </c>
      <c r="I21" s="73">
        <f t="shared" si="1"/>
        <v>9232.2453967737893</v>
      </c>
      <c r="J21" s="74">
        <f t="shared" si="0"/>
        <v>454937.57034262834</v>
      </c>
      <c r="K21" s="75">
        <f t="shared" si="2"/>
        <v>3.6075928389475779E+34</v>
      </c>
    </row>
    <row r="22" spans="1:11" s="76" customFormat="1" ht="15.75" customHeight="1" x14ac:dyDescent="0.2">
      <c r="A22" s="70">
        <v>18</v>
      </c>
      <c r="B22" s="71">
        <v>3.9000000000000002E+36</v>
      </c>
      <c r="C22" s="70">
        <v>1.216</v>
      </c>
      <c r="D22" s="70">
        <v>7690</v>
      </c>
      <c r="E22" s="70">
        <v>2.9658999999998001</v>
      </c>
      <c r="F22" s="70">
        <v>1.0000000000000001E-5</v>
      </c>
      <c r="G22" s="72">
        <v>101360</v>
      </c>
      <c r="H22" s="83" t="s">
        <v>80</v>
      </c>
      <c r="I22" s="73">
        <f t="shared" si="1"/>
        <v>9249.2684212661952</v>
      </c>
      <c r="J22" s="74">
        <f t="shared" si="0"/>
        <v>430779.44846353366</v>
      </c>
      <c r="K22" s="75">
        <f t="shared" si="2"/>
        <v>3.4770739559715872E+34</v>
      </c>
    </row>
    <row r="23" spans="1:11" s="76" customFormat="1" ht="15.75" customHeight="1" x14ac:dyDescent="0.2">
      <c r="A23" s="70">
        <v>19</v>
      </c>
      <c r="B23" s="71">
        <v>3.9500000000000002E+36</v>
      </c>
      <c r="C23" s="70">
        <v>1.228</v>
      </c>
      <c r="D23" s="70">
        <v>7710</v>
      </c>
      <c r="E23" s="70">
        <v>2.9769999999997898</v>
      </c>
      <c r="F23" s="70">
        <v>1.0000000000000001E-5</v>
      </c>
      <c r="G23" s="72">
        <v>101380</v>
      </c>
      <c r="H23" s="83" t="s">
        <v>81</v>
      </c>
      <c r="I23" s="73">
        <f t="shared" si="1"/>
        <v>9266.3181267663822</v>
      </c>
      <c r="J23" s="74">
        <f t="shared" si="0"/>
        <v>408053.89602854248</v>
      </c>
      <c r="K23" s="75">
        <f t="shared" si="2"/>
        <v>3.35050349422198E+34</v>
      </c>
    </row>
    <row r="24" spans="1:11" s="76" customFormat="1" ht="15.75" customHeight="1" x14ac:dyDescent="0.2">
      <c r="A24" s="70">
        <v>20</v>
      </c>
      <c r="B24" s="71">
        <v>4.0000000000000002E+36</v>
      </c>
      <c r="C24" s="70">
        <v>1.24</v>
      </c>
      <c r="D24" s="70">
        <v>7730</v>
      </c>
      <c r="E24" s="70">
        <v>2.9880999999997799</v>
      </c>
      <c r="F24" s="70">
        <v>1.0000000000000001E-5</v>
      </c>
      <c r="G24" s="72">
        <v>101400</v>
      </c>
      <c r="H24" s="83" t="s">
        <v>82</v>
      </c>
      <c r="I24" s="73">
        <f t="shared" si="1"/>
        <v>9283.3941561835709</v>
      </c>
      <c r="J24" s="74">
        <f t="shared" si="0"/>
        <v>386667.78853374068</v>
      </c>
      <c r="K24" s="75">
        <f t="shared" si="2"/>
        <v>3.2278086727703439E+34</v>
      </c>
    </row>
    <row r="25" spans="1:11" s="76" customFormat="1" ht="15.75" customHeight="1" x14ac:dyDescent="0.2">
      <c r="A25" s="70">
        <v>21</v>
      </c>
      <c r="B25" s="71">
        <v>4.0500000000000001E+36</v>
      </c>
      <c r="C25" s="70">
        <v>1.252</v>
      </c>
      <c r="D25" s="70">
        <v>7750</v>
      </c>
      <c r="E25" s="70">
        <v>2.99919999999977</v>
      </c>
      <c r="F25" s="70">
        <v>1.0000000000000001E-5</v>
      </c>
      <c r="G25" s="72">
        <v>101420</v>
      </c>
      <c r="H25" s="83" t="s">
        <v>83</v>
      </c>
      <c r="I25" s="73">
        <f t="shared" si="1"/>
        <v>9300.4961587709495</v>
      </c>
      <c r="J25" s="74">
        <f t="shared" si="0"/>
        <v>366534.54823742952</v>
      </c>
      <c r="K25" s="75">
        <f t="shared" si="2"/>
        <v>3.1089147657635384E+34</v>
      </c>
    </row>
    <row r="26" spans="1:11" s="76" customFormat="1" ht="15.75" customHeight="1" x14ac:dyDescent="0.2">
      <c r="A26" s="70">
        <v>22</v>
      </c>
      <c r="B26" s="71">
        <v>4.1000000000000001E+36</v>
      </c>
      <c r="C26" s="70">
        <v>1.264</v>
      </c>
      <c r="D26" s="70">
        <v>7770</v>
      </c>
      <c r="E26" s="70">
        <v>3.0102999999997602</v>
      </c>
      <c r="F26" s="70">
        <v>1.0000000000000001E-5</v>
      </c>
      <c r="G26" s="72">
        <v>101440</v>
      </c>
      <c r="H26" s="83" t="s">
        <v>84</v>
      </c>
      <c r="I26" s="73">
        <f t="shared" si="1"/>
        <v>9317.6237899854077</v>
      </c>
      <c r="J26" s="74">
        <f t="shared" si="0"/>
        <v>347573.65171968896</v>
      </c>
      <c r="K26" s="75">
        <f t="shared" si="2"/>
        <v>2.9937454266702035E+34</v>
      </c>
    </row>
    <row r="27" spans="1:11" s="76" customFormat="1" ht="15.75" customHeight="1" x14ac:dyDescent="0.2">
      <c r="A27" s="70">
        <v>23</v>
      </c>
      <c r="B27" s="71">
        <v>4.1500000000000001E+36</v>
      </c>
      <c r="C27" s="70">
        <v>1.276</v>
      </c>
      <c r="D27" s="70">
        <v>7790</v>
      </c>
      <c r="E27" s="70">
        <v>3.0213999999997498</v>
      </c>
      <c r="F27" s="70">
        <v>1.0000000000000001E-5</v>
      </c>
      <c r="G27" s="72">
        <v>101460</v>
      </c>
      <c r="H27" s="77"/>
      <c r="I27" s="73">
        <f t="shared" si="1"/>
        <v>9334.7767113509908</v>
      </c>
      <c r="J27" s="74">
        <f t="shared" si="0"/>
        <v>329710.17671605176</v>
      </c>
      <c r="K27" s="75">
        <f t="shared" si="2"/>
        <v>2.8822229883124427E+34</v>
      </c>
    </row>
    <row r="28" spans="1:11" s="76" customFormat="1" ht="15.75" customHeight="1" x14ac:dyDescent="0.2">
      <c r="A28" s="70">
        <v>24</v>
      </c>
      <c r="B28" s="71">
        <v>4.2000000000000001E+36</v>
      </c>
      <c r="C28" s="70">
        <v>1.288</v>
      </c>
      <c r="D28" s="70">
        <v>7810</v>
      </c>
      <c r="E28" s="70">
        <v>3.03249999999974</v>
      </c>
      <c r="F28" s="70">
        <v>1.0000000000000001E-5</v>
      </c>
      <c r="G28" s="72">
        <v>101480</v>
      </c>
      <c r="H28" s="77"/>
      <c r="I28" s="73">
        <f t="shared" si="1"/>
        <v>9351.9545903259241</v>
      </c>
      <c r="J28" s="74">
        <f t="shared" si="0"/>
        <v>312874.38493150059</v>
      </c>
      <c r="K28" s="75">
        <f t="shared" si="2"/>
        <v>2.7742687401091655E+34</v>
      </c>
    </row>
    <row r="29" spans="1:11" s="76" customFormat="1" ht="15.75" customHeight="1" x14ac:dyDescent="0.2">
      <c r="A29" s="70">
        <v>25</v>
      </c>
      <c r="B29" s="71">
        <v>4.2500000000000001E+36</v>
      </c>
      <c r="C29" s="70">
        <v>1.3</v>
      </c>
      <c r="D29" s="70">
        <v>7830</v>
      </c>
      <c r="E29" s="70">
        <v>3.0435999999997301</v>
      </c>
      <c r="F29" s="70">
        <v>1.0000000000000001E-5</v>
      </c>
      <c r="G29" s="72">
        <v>101500</v>
      </c>
      <c r="H29" s="77"/>
      <c r="I29" s="73">
        <f t="shared" si="1"/>
        <v>9369.1571001731463</v>
      </c>
      <c r="J29" s="74">
        <f t="shared" si="0"/>
        <v>297001.33782913344</v>
      </c>
      <c r="K29" s="75">
        <f t="shared" si="2"/>
        <v>2.6698031838847231E+34</v>
      </c>
    </row>
    <row r="30" spans="1:11" ht="15.75" customHeight="1" x14ac:dyDescent="0.2">
      <c r="A30" s="70">
        <v>26</v>
      </c>
      <c r="B30" s="71">
        <v>4.3E+36</v>
      </c>
      <c r="C30" s="70">
        <v>1.3120000000000001</v>
      </c>
      <c r="D30" s="70">
        <v>7850</v>
      </c>
      <c r="E30" s="70">
        <v>3.0546999999997202</v>
      </c>
      <c r="F30" s="70">
        <v>1.0000000000000001E-5</v>
      </c>
      <c r="G30" s="72">
        <v>101520</v>
      </c>
      <c r="H30" s="77"/>
      <c r="I30" s="73">
        <f t="shared" si="1"/>
        <v>9386.3839198341993</v>
      </c>
      <c r="J30" s="74">
        <f t="shared" si="0"/>
        <v>282030.54264985252</v>
      </c>
      <c r="K30" s="75">
        <f t="shared" si="2"/>
        <v>2.5687462695259001E+34</v>
      </c>
    </row>
    <row r="31" spans="1:11" ht="15.75" customHeight="1" x14ac:dyDescent="0.2">
      <c r="A31" s="70">
        <v>27</v>
      </c>
      <c r="B31" s="71">
        <v>4.35E+36</v>
      </c>
      <c r="C31" s="70">
        <v>1.3240000000000001</v>
      </c>
      <c r="D31" s="70">
        <v>7870</v>
      </c>
      <c r="E31" s="70">
        <v>3.0657999999997099</v>
      </c>
      <c r="F31" s="70">
        <v>1.0000000000000001E-5</v>
      </c>
      <c r="G31" s="72">
        <v>101540</v>
      </c>
      <c r="H31" s="77"/>
      <c r="I31" s="73">
        <f t="shared" si="1"/>
        <v>9403.6347338063933</v>
      </c>
      <c r="J31" s="74">
        <f t="shared" si="0"/>
        <v>267905.62615790428</v>
      </c>
      <c r="K31" s="75">
        <f t="shared" si="2"/>
        <v>2.4710176117042671E+34</v>
      </c>
    </row>
    <row r="32" spans="1:11" ht="15.75" customHeight="1" x14ac:dyDescent="0.2">
      <c r="A32" s="70">
        <v>28</v>
      </c>
      <c r="B32" s="71">
        <v>4.4E+36</v>
      </c>
      <c r="C32" s="70">
        <v>1.3360000000000001</v>
      </c>
      <c r="D32" s="70">
        <v>7890</v>
      </c>
      <c r="E32" s="70">
        <v>3.0768999999997</v>
      </c>
      <c r="F32" s="70">
        <v>1.0000000000000001E-5</v>
      </c>
      <c r="G32" s="72">
        <v>101560</v>
      </c>
      <c r="H32" s="77"/>
      <c r="I32" s="73">
        <f t="shared" si="1"/>
        <v>9420.9092320231521</v>
      </c>
      <c r="J32" s="74">
        <f t="shared" si="0"/>
        <v>254574.03382403826</v>
      </c>
      <c r="K32" s="75">
        <f t="shared" si="2"/>
        <v>2.3765366888167181E+34</v>
      </c>
    </row>
    <row r="33" spans="1:11" ht="15.75" customHeight="1" x14ac:dyDescent="0.2">
      <c r="A33" s="70">
        <v>29</v>
      </c>
      <c r="B33" s="71">
        <v>4.45E+36</v>
      </c>
      <c r="C33" s="70">
        <v>1.3480000000000001</v>
      </c>
      <c r="D33" s="70">
        <v>7910</v>
      </c>
      <c r="E33" s="70">
        <v>3.0879999999996901</v>
      </c>
      <c r="F33" s="70">
        <v>1.0000000000000001E-5</v>
      </c>
      <c r="G33" s="72">
        <v>101580</v>
      </c>
      <c r="H33" s="77"/>
      <c r="I33" s="73">
        <f t="shared" si="1"/>
        <v>9438.2071097374319</v>
      </c>
      <c r="J33" s="74">
        <f t="shared" si="0"/>
        <v>241986.7523555253</v>
      </c>
      <c r="K33" s="75">
        <f t="shared" si="2"/>
        <v>2.285223025237058E+34</v>
      </c>
    </row>
    <row r="34" spans="1:11" ht="15.75" customHeight="1" x14ac:dyDescent="0.2">
      <c r="A34" s="70">
        <v>30</v>
      </c>
      <c r="B34" s="71">
        <v>4.5E+36</v>
      </c>
      <c r="C34" s="70">
        <v>1.36</v>
      </c>
      <c r="D34" s="70">
        <v>7930</v>
      </c>
      <c r="E34" s="70">
        <v>3.0990999999996802</v>
      </c>
      <c r="F34" s="70">
        <v>1.0000000000000001E-5</v>
      </c>
      <c r="G34" s="72">
        <v>101600</v>
      </c>
      <c r="H34" s="77"/>
      <c r="I34" s="73">
        <f t="shared" si="1"/>
        <v>9455.5280674081368</v>
      </c>
      <c r="J34" s="74">
        <f t="shared" si="0"/>
        <v>230098.05366210948</v>
      </c>
      <c r="K34" s="75">
        <f t="shared" si="2"/>
        <v>2.1969963579132892E+34</v>
      </c>
    </row>
    <row r="35" spans="1:11" ht="15.75" customHeight="1" x14ac:dyDescent="0.2">
      <c r="A35" s="70">
        <v>31</v>
      </c>
      <c r="B35" s="71">
        <v>4.5499999999999999E+36</v>
      </c>
      <c r="C35" s="70">
        <v>1.3720000000000001</v>
      </c>
      <c r="D35" s="70">
        <v>7950</v>
      </c>
      <c r="E35" s="70">
        <v>3.1101999999996699</v>
      </c>
      <c r="F35" s="70">
        <v>1.0000000000000001E-5</v>
      </c>
      <c r="G35" s="72">
        <v>101620</v>
      </c>
      <c r="H35" s="77"/>
      <c r="I35" s="73">
        <f t="shared" si="1"/>
        <v>9472.8718105894204</v>
      </c>
      <c r="J35" s="74">
        <f t="shared" si="0"/>
        <v>218865.25851068742</v>
      </c>
      <c r="K35" s="75">
        <f t="shared" si="2"/>
        <v>2.1117767882907691E+34</v>
      </c>
    </row>
    <row r="36" spans="1:11" ht="15.75" customHeight="1" x14ac:dyDescent="0.2">
      <c r="A36" s="70">
        <v>32</v>
      </c>
      <c r="B36" s="71">
        <v>4.5999999999999999E+36</v>
      </c>
      <c r="C36" s="70">
        <v>1.3839999999999999</v>
      </c>
      <c r="D36" s="70">
        <v>7970</v>
      </c>
      <c r="E36" s="70">
        <v>3.12129999999966</v>
      </c>
      <c r="F36" s="70">
        <v>1.0000000000000001E-5</v>
      </c>
      <c r="G36" s="72">
        <v>101640</v>
      </c>
      <c r="H36" s="77"/>
      <c r="I36" s="73">
        <f t="shared" si="1"/>
        <v>9490.2380498228049</v>
      </c>
      <c r="J36" s="74">
        <f t="shared" si="0"/>
        <v>208248.51827068924</v>
      </c>
      <c r="K36" s="75">
        <f t="shared" si="2"/>
        <v>2.0294849204887115E+34</v>
      </c>
    </row>
    <row r="37" spans="1:11" ht="15.75" customHeight="1" x14ac:dyDescent="0.2">
      <c r="A37" s="70">
        <v>33</v>
      </c>
      <c r="B37" s="71">
        <v>4.6499999999999999E+36</v>
      </c>
      <c r="C37" s="70">
        <v>1.3959999999999999</v>
      </c>
      <c r="D37" s="70">
        <v>7990</v>
      </c>
      <c r="E37" s="70">
        <v>3.1323999999996501</v>
      </c>
      <c r="F37" s="70">
        <v>1.0000000000000001E-5</v>
      </c>
      <c r="G37" s="72">
        <v>101660</v>
      </c>
      <c r="H37" s="77"/>
      <c r="I37" s="73">
        <f t="shared" si="1"/>
        <v>9507.6265005320365</v>
      </c>
      <c r="J37" s="74">
        <f t="shared" si="0"/>
        <v>198210.61328806687</v>
      </c>
      <c r="K37" s="75">
        <f t="shared" si="2"/>
        <v>1.9500419866080046E+34</v>
      </c>
    </row>
    <row r="38" spans="1:11" ht="15.75" customHeight="1" x14ac:dyDescent="0.2">
      <c r="A38" s="70">
        <v>34</v>
      </c>
      <c r="B38" s="71">
        <v>4.6999999999999999E+36</v>
      </c>
      <c r="C38" s="70">
        <v>1.4079999999999999</v>
      </c>
      <c r="D38" s="70">
        <v>8010</v>
      </c>
      <c r="E38" s="70">
        <v>3.1434999999996398</v>
      </c>
      <c r="F38" s="70">
        <v>1.0000000000000001E-5</v>
      </c>
      <c r="G38" s="72">
        <v>101680</v>
      </c>
      <c r="H38" s="77"/>
      <c r="I38" s="73">
        <f t="shared" si="1"/>
        <v>9525.0368829205781</v>
      </c>
      <c r="J38" s="74">
        <f t="shared" si="0"/>
        <v>188716.76654967258</v>
      </c>
      <c r="K38" s="75">
        <f t="shared" si="2"/>
        <v>1.8733699600006368E+34</v>
      </c>
    </row>
    <row r="39" spans="1:11" ht="15.75" customHeight="1" x14ac:dyDescent="0.2">
      <c r="A39" s="70">
        <v>35</v>
      </c>
      <c r="B39" s="71">
        <v>4.7499999999999999E+36</v>
      </c>
      <c r="C39" s="70">
        <v>1.42</v>
      </c>
      <c r="D39" s="70">
        <v>8030</v>
      </c>
      <c r="E39" s="70">
        <v>3.1545999999996299</v>
      </c>
      <c r="F39" s="70">
        <v>1.0000000000000001E-5</v>
      </c>
      <c r="G39" s="72">
        <v>101700</v>
      </c>
      <c r="H39" s="77"/>
      <c r="I39" s="73">
        <f t="shared" si="1"/>
        <v>9542.4689218716794</v>
      </c>
      <c r="J39" s="74">
        <f t="shared" si="0"/>
        <v>179734.47141279813</v>
      </c>
      <c r="K39" s="75">
        <f t="shared" si="2"/>
        <v>1.7993916572860632E+34</v>
      </c>
    </row>
    <row r="40" spans="1:11" ht="15.75" customHeight="1" x14ac:dyDescent="0.2">
      <c r="A40" s="70">
        <v>36</v>
      </c>
      <c r="B40" s="71">
        <v>4.7999999999999998E+36</v>
      </c>
      <c r="C40" s="70">
        <v>1.4319999999999999</v>
      </c>
      <c r="D40" s="70">
        <v>8050</v>
      </c>
      <c r="E40" s="70">
        <v>3.16569999999962</v>
      </c>
      <c r="F40" s="70">
        <v>1.0000000000000001E-5</v>
      </c>
      <c r="G40" s="72">
        <v>101720</v>
      </c>
      <c r="H40" s="77"/>
      <c r="I40" s="73">
        <f t="shared" si="1"/>
        <v>9559.9223468509499</v>
      </c>
      <c r="J40" s="74">
        <f t="shared" si="0"/>
        <v>171233.33227765799</v>
      </c>
      <c r="K40" s="75">
        <f t="shared" si="2"/>
        <v>1.7280308298568448E+34</v>
      </c>
    </row>
    <row r="41" spans="1:11" ht="15.75" customHeight="1" x14ac:dyDescent="0.2">
      <c r="A41" s="70">
        <v>37</v>
      </c>
      <c r="B41" s="71">
        <v>4.8499999999999998E+36</v>
      </c>
      <c r="C41" s="70">
        <v>1.444</v>
      </c>
      <c r="D41" s="70">
        <v>8070</v>
      </c>
      <c r="E41" s="70">
        <v>3.1767999999996102</v>
      </c>
      <c r="F41" s="70">
        <v>1.0000000000000001E-5</v>
      </c>
      <c r="G41" s="72">
        <v>101740</v>
      </c>
      <c r="H41" s="77"/>
      <c r="I41" s="73">
        <f t="shared" si="1"/>
        <v>9577.3968918113369</v>
      </c>
      <c r="J41" s="74">
        <f t="shared" si="0"/>
        <v>163184.9171746046</v>
      </c>
      <c r="K41" s="75">
        <f t="shared" si="2"/>
        <v>1.6592122455749619E+34</v>
      </c>
    </row>
    <row r="42" spans="1:11" ht="15.75" customHeight="1" x14ac:dyDescent="0.2">
      <c r="A42" s="70">
        <v>38</v>
      </c>
      <c r="B42" s="71">
        <v>4.8999999999999998E+36</v>
      </c>
      <c r="C42" s="70">
        <v>1.456</v>
      </c>
      <c r="D42" s="70">
        <v>8090</v>
      </c>
      <c r="E42" s="70">
        <v>3.1878999999995998</v>
      </c>
      <c r="F42" s="70">
        <v>1.0000000000000001E-5</v>
      </c>
      <c r="G42" s="72">
        <v>101760</v>
      </c>
      <c r="H42" s="77"/>
      <c r="I42" s="73">
        <f t="shared" si="1"/>
        <v>9594.8922951004879</v>
      </c>
      <c r="J42" s="74">
        <f t="shared" si="0"/>
        <v>155562.62132365658</v>
      </c>
      <c r="K42" s="75">
        <f t="shared" si="2"/>
        <v>1.5928617613214849E+34</v>
      </c>
    </row>
    <row r="43" spans="1:11" ht="15.75" customHeight="1" x14ac:dyDescent="0.2">
      <c r="A43" s="70">
        <v>39</v>
      </c>
      <c r="B43" s="71">
        <v>4.9499999999999998E+36</v>
      </c>
      <c r="C43" s="70">
        <v>1.468</v>
      </c>
      <c r="D43" s="70">
        <v>8110</v>
      </c>
      <c r="E43" s="70">
        <v>3.1989999999995899</v>
      </c>
      <c r="F43" s="70">
        <v>1.0000000000000001E-5</v>
      </c>
      <c r="G43" s="72">
        <v>101780</v>
      </c>
      <c r="H43" s="77"/>
      <c r="I43" s="73">
        <f t="shared" si="1"/>
        <v>9612.4082993703651</v>
      </c>
      <c r="J43" s="74">
        <f t="shared" si="0"/>
        <v>148341.54080223764</v>
      </c>
      <c r="K43" s="75">
        <f t="shared" si="2"/>
        <v>1.5289063870251704E+34</v>
      </c>
    </row>
    <row r="44" spans="1:11" ht="15.75" customHeight="1" x14ac:dyDescent="0.2">
      <c r="A44" s="70">
        <v>40</v>
      </c>
      <c r="B44" s="71">
        <v>4.9999999999999998E+36</v>
      </c>
      <c r="C44" s="70">
        <v>1.48</v>
      </c>
      <c r="D44" s="70">
        <v>8130</v>
      </c>
      <c r="E44" s="70">
        <v>3.2100999999995801</v>
      </c>
      <c r="F44" s="70">
        <v>1.0000000000000001E-5</v>
      </c>
      <c r="G44" s="72">
        <v>101800</v>
      </c>
      <c r="H44" s="77"/>
      <c r="I44" s="73">
        <f t="shared" si="1"/>
        <v>9629.9446514891079</v>
      </c>
      <c r="J44" s="74">
        <f t="shared" si="0"/>
        <v>141498.35552854059</v>
      </c>
      <c r="K44" s="75">
        <f t="shared" si="2"/>
        <v>1.4672743417605269E+34</v>
      </c>
    </row>
    <row r="45" spans="1:11" ht="15.75" customHeight="1" x14ac:dyDescent="0.2">
      <c r="A45" s="70">
        <v>41</v>
      </c>
      <c r="B45" s="71">
        <v>5.0499999999999997E+36</v>
      </c>
      <c r="C45" s="70">
        <v>1.492</v>
      </c>
      <c r="D45" s="70">
        <v>8150</v>
      </c>
      <c r="E45" s="70">
        <v>3.22119999999958</v>
      </c>
      <c r="F45" s="70">
        <v>1.0000000000000001E-5</v>
      </c>
      <c r="G45" s="72">
        <v>101820</v>
      </c>
      <c r="H45" s="77"/>
      <c r="I45" s="73">
        <f t="shared" si="1"/>
        <v>9647.5011024550295</v>
      </c>
      <c r="J45" s="74">
        <f t="shared" si="0"/>
        <v>135011.22083328353</v>
      </c>
      <c r="K45" s="75">
        <f t="shared" si="2"/>
        <v>1.4078951024724162E+34</v>
      </c>
    </row>
    <row r="46" spans="1:11" ht="15.75" customHeight="1" x14ac:dyDescent="0.2">
      <c r="A46" s="70">
        <v>42</v>
      </c>
      <c r="B46" s="71">
        <v>5.0999999999999997E+36</v>
      </c>
      <c r="C46" s="70">
        <v>1.504</v>
      </c>
      <c r="D46" s="70">
        <v>8170</v>
      </c>
      <c r="E46" s="70">
        <v>3.2322999999995599</v>
      </c>
      <c r="F46" s="70">
        <v>1.0000000000000001E-5</v>
      </c>
      <c r="G46" s="72">
        <v>101840</v>
      </c>
      <c r="H46" s="77"/>
      <c r="I46" s="73">
        <f t="shared" si="1"/>
        <v>9665.0774073127614</v>
      </c>
      <c r="J46" s="74">
        <f t="shared" si="0"/>
        <v>128859.66695235857</v>
      </c>
      <c r="K46" s="75">
        <f t="shared" si="2"/>
        <v>1.3506994458527189E+34</v>
      </c>
    </row>
    <row r="47" spans="1:11" ht="15.75" customHeight="1" x14ac:dyDescent="0.2">
      <c r="A47" s="70">
        <v>43</v>
      </c>
      <c r="B47" s="71">
        <v>5.1499999999999997E+36</v>
      </c>
      <c r="C47" s="70">
        <v>1.516</v>
      </c>
      <c r="D47" s="70">
        <v>8190</v>
      </c>
      <c r="E47" s="70">
        <v>3.24339999999955</v>
      </c>
      <c r="F47" s="70">
        <v>1.0000000000000001E-5</v>
      </c>
      <c r="G47" s="72">
        <v>101860</v>
      </c>
      <c r="H47" s="78"/>
      <c r="I47" s="73">
        <f t="shared" si="1"/>
        <v>9682.6733250713241</v>
      </c>
      <c r="J47" s="74">
        <f t="shared" si="0"/>
        <v>123024.5058273327</v>
      </c>
      <c r="K47" s="75">
        <f t="shared" si="2"/>
        <v>1.2956194838637687E+34</v>
      </c>
    </row>
    <row r="48" spans="1:11" ht="15.75" customHeight="1" x14ac:dyDescent="0.2">
      <c r="A48" s="70">
        <v>44</v>
      </c>
      <c r="B48" s="71">
        <v>5.2000000000000003E+36</v>
      </c>
      <c r="C48" s="70">
        <v>1.528</v>
      </c>
      <c r="D48" s="70">
        <v>8210</v>
      </c>
      <c r="E48" s="70">
        <v>3.2544999999995401</v>
      </c>
      <c r="F48" s="70">
        <v>1.0000000000000001E-5</v>
      </c>
      <c r="G48" s="72">
        <v>101880</v>
      </c>
      <c r="H48" s="80"/>
      <c r="I48" s="73">
        <f t="shared" si="1"/>
        <v>9700.2886186243177</v>
      </c>
      <c r="J48" s="74">
        <f t="shared" si="0"/>
        <v>117487.74465096474</v>
      </c>
      <c r="K48" s="75">
        <f t="shared" si="2"/>
        <v>1.2425886933759977E+34</v>
      </c>
    </row>
    <row r="49" spans="1:11" ht="15.75" customHeight="1" x14ac:dyDescent="0.2">
      <c r="A49" s="70">
        <v>45</v>
      </c>
      <c r="B49" s="71">
        <v>5.2500000000000003E+36</v>
      </c>
      <c r="C49" s="70">
        <v>1.54</v>
      </c>
      <c r="D49" s="70">
        <v>8230</v>
      </c>
      <c r="E49" s="70">
        <v>3.26559999999954</v>
      </c>
      <c r="F49" s="70">
        <v>1.0000000000000001E-5</v>
      </c>
      <c r="G49" s="72">
        <v>101900</v>
      </c>
      <c r="H49" s="80"/>
      <c r="I49" s="73">
        <f t="shared" si="1"/>
        <v>9717.9230546719282</v>
      </c>
      <c r="J49" s="74">
        <f t="shared" si="0"/>
        <v>112232.50564019264</v>
      </c>
      <c r="K49" s="75">
        <f t="shared" si="2"/>
        <v>1.1915419403582756E+34</v>
      </c>
    </row>
    <row r="50" spans="1:11" ht="15.75" customHeight="1" x14ac:dyDescent="0.2">
      <c r="A50" s="70">
        <v>46</v>
      </c>
      <c r="B50" s="71">
        <v>5.3000000000000002E+36</v>
      </c>
      <c r="C50" s="70">
        <v>1.552</v>
      </c>
      <c r="D50" s="70">
        <v>8250</v>
      </c>
      <c r="E50" s="70">
        <v>3.2766999999995199</v>
      </c>
      <c r="F50" s="70">
        <v>1.0000000000000001E-5</v>
      </c>
      <c r="G50" s="72">
        <v>101920</v>
      </c>
      <c r="H50" s="80"/>
      <c r="I50" s="73">
        <f t="shared" si="1"/>
        <v>9735.5764036448709</v>
      </c>
      <c r="J50" s="74">
        <f t="shared" si="0"/>
        <v>107242.95156117335</v>
      </c>
      <c r="K50" s="75">
        <f t="shared" si="2"/>
        <v>1.1424154990351813E+34</v>
      </c>
    </row>
    <row r="51" spans="1:11" ht="15.75" customHeight="1" x14ac:dyDescent="0.2">
      <c r="A51" s="70">
        <v>47</v>
      </c>
      <c r="B51" s="71">
        <v>5.3500000000000002E+36</v>
      </c>
      <c r="C51" s="70">
        <v>1.5640000000000001</v>
      </c>
      <c r="D51" s="70">
        <v>8270</v>
      </c>
      <c r="E51" s="70">
        <v>3.28779999999951</v>
      </c>
      <c r="F51" s="70">
        <v>1.0000000000000001E-5</v>
      </c>
      <c r="G51" s="72">
        <v>101940</v>
      </c>
      <c r="H51" s="80"/>
      <c r="I51" s="73">
        <f t="shared" si="1"/>
        <v>9753.248439630077</v>
      </c>
      <c r="J51" s="74">
        <f t="shared" si="0"/>
        <v>102504.2165689362</v>
      </c>
      <c r="K51" s="75">
        <f t="shared" si="2"/>
        <v>1.0951470663996597E+34</v>
      </c>
    </row>
    <row r="52" spans="1:11" ht="15.75" customHeight="1" x14ac:dyDescent="0.2">
      <c r="A52" s="70">
        <v>48</v>
      </c>
      <c r="B52" s="71">
        <v>5.4000000000000002E+36</v>
      </c>
      <c r="C52" s="70">
        <v>1.5760000000000001</v>
      </c>
      <c r="D52" s="70">
        <v>8290</v>
      </c>
      <c r="E52" s="70">
        <v>3.2988999999995099</v>
      </c>
      <c r="F52" s="70">
        <v>1.0000000000000001E-5</v>
      </c>
      <c r="G52" s="72">
        <v>101960</v>
      </c>
      <c r="H52" s="80"/>
      <c r="I52" s="73">
        <f t="shared" si="1"/>
        <v>9770.9389402982342</v>
      </c>
      <c r="J52" s="74">
        <f t="shared" si="0"/>
        <v>98002.341959530153</v>
      </c>
      <c r="K52" s="75">
        <f t="shared" si="2"/>
        <v>1.0496757724476621E+34</v>
      </c>
    </row>
    <row r="53" spans="1:11" ht="15.75" customHeight="1" x14ac:dyDescent="0.2">
      <c r="A53" s="70">
        <v>49</v>
      </c>
      <c r="B53" s="71">
        <v>5.4500000000000002E+36</v>
      </c>
      <c r="C53" s="70">
        <v>1.5880000000000001</v>
      </c>
      <c r="D53" s="70">
        <v>8310</v>
      </c>
      <c r="E53" s="70">
        <v>3.3099999999995</v>
      </c>
      <c r="F53" s="70">
        <v>1.0000000000000001E-5</v>
      </c>
      <c r="G53" s="72">
        <v>101980</v>
      </c>
      <c r="H53" s="80"/>
      <c r="I53" s="73">
        <f t="shared" si="1"/>
        <v>9788.6476868330028</v>
      </c>
      <c r="J53" s="74">
        <f t="shared" si="0"/>
        <v>93724.216464348166</v>
      </c>
      <c r="K53" s="75">
        <f t="shared" si="2"/>
        <v>1.0059421864778877E+34</v>
      </c>
    </row>
    <row r="54" spans="1:11" ht="15.75" customHeight="1" x14ac:dyDescent="0.2">
      <c r="A54" s="70">
        <v>50</v>
      </c>
      <c r="B54" s="71">
        <v>5.5000000000000002E+36</v>
      </c>
      <c r="C54" s="70">
        <v>1.6</v>
      </c>
      <c r="D54" s="70">
        <v>8330</v>
      </c>
      <c r="E54" s="70">
        <v>3.3210999999994901</v>
      </c>
      <c r="F54" s="70">
        <v>1.0000000000000001E-5</v>
      </c>
      <c r="G54" s="72">
        <v>102000</v>
      </c>
      <c r="H54" s="80"/>
      <c r="I54" s="73">
        <f t="shared" si="1"/>
        <v>9806.3744638618809</v>
      </c>
      <c r="J54" s="74">
        <f t="shared" si="0"/>
        <v>89657.520745898379</v>
      </c>
      <c r="K54" s="75">
        <f t="shared" si="2"/>
        <v>9.6388831977970659E+33</v>
      </c>
    </row>
    <row r="55" spans="1:11" ht="15.75" customHeight="1" x14ac:dyDescent="0.2">
      <c r="A55" s="70">
        <v>51</v>
      </c>
      <c r="B55" s="71">
        <v>5.5500000000000001E+36</v>
      </c>
      <c r="C55" s="70">
        <v>1.6120000000000001</v>
      </c>
      <c r="D55" s="70">
        <v>8350</v>
      </c>
      <c r="E55" s="70">
        <v>3.3321999999994798</v>
      </c>
      <c r="F55" s="70">
        <v>1.0000000000000001E-5</v>
      </c>
      <c r="G55" s="72">
        <v>102020</v>
      </c>
      <c r="H55" s="80"/>
      <c r="I55" s="73">
        <f t="shared" si="1"/>
        <v>9824.1190593887313</v>
      </c>
      <c r="J55" s="74">
        <f t="shared" si="0"/>
        <v>85790.675781244528</v>
      </c>
      <c r="K55" s="75">
        <f t="shared" si="2"/>
        <v>9.2345762501257432E+33</v>
      </c>
    </row>
    <row r="56" spans="1:11" ht="15.75" customHeight="1" x14ac:dyDescent="0.2">
      <c r="A56" s="70">
        <v>52</v>
      </c>
      <c r="B56" s="71">
        <v>5.6000000000000001E+36</v>
      </c>
      <c r="C56" s="70">
        <v>1.6240000000000001</v>
      </c>
      <c r="D56" s="70">
        <v>8370</v>
      </c>
      <c r="E56" s="70">
        <v>3.3432999999994699</v>
      </c>
      <c r="F56" s="70">
        <v>1.0000000000000001E-5</v>
      </c>
      <c r="G56" s="72">
        <v>102040</v>
      </c>
      <c r="H56" s="80"/>
      <c r="I56" s="73">
        <f t="shared" si="1"/>
        <v>9841.8812647278792</v>
      </c>
      <c r="J56" s="74">
        <f t="shared" si="0"/>
        <v>82112.794843979122</v>
      </c>
      <c r="K56" s="75">
        <f t="shared" si="2"/>
        <v>8.845949925609696E+33</v>
      </c>
    </row>
    <row r="57" spans="1:11" ht="15.75" customHeight="1" x14ac:dyDescent="0.2">
      <c r="A57" s="70">
        <v>53</v>
      </c>
      <c r="B57" s="71">
        <v>5.6500000000000001E+36</v>
      </c>
      <c r="C57" s="70">
        <v>1.6359999999999999</v>
      </c>
      <c r="D57" s="70">
        <v>8390</v>
      </c>
      <c r="E57" s="70">
        <v>3.35439999999946</v>
      </c>
      <c r="F57" s="70">
        <v>1.0000000000000001E-5</v>
      </c>
      <c r="G57" s="72">
        <v>102060</v>
      </c>
      <c r="H57" s="80"/>
      <c r="I57" s="73">
        <f t="shared" si="1"/>
        <v>9859.6608744397399</v>
      </c>
      <c r="J57" s="74">
        <f t="shared" si="0"/>
        <v>78613.638818345324</v>
      </c>
      <c r="K57" s="75">
        <f t="shared" si="2"/>
        <v>8.4724674413149864E+33</v>
      </c>
    </row>
    <row r="58" spans="1:11" ht="15.75" customHeight="1" x14ac:dyDescent="0.2">
      <c r="A58" s="70">
        <v>54</v>
      </c>
      <c r="B58" s="71">
        <v>5.7000000000000001E+36</v>
      </c>
      <c r="C58" s="70">
        <v>1.6479999999999999</v>
      </c>
      <c r="D58" s="70">
        <v>8410</v>
      </c>
      <c r="E58" s="70">
        <v>3.3654999999994502</v>
      </c>
      <c r="F58" s="70">
        <v>1.0000000000000001E-5</v>
      </c>
      <c r="G58" s="72">
        <v>102080</v>
      </c>
      <c r="H58" s="80"/>
      <c r="I58" s="73">
        <f t="shared" si="1"/>
        <v>9877.4576862679478</v>
      </c>
      <c r="J58" s="74">
        <f t="shared" si="0"/>
        <v>75283.574599900792</v>
      </c>
      <c r="K58" s="75">
        <f t="shared" si="2"/>
        <v>8.1136062384185974E+33</v>
      </c>
    </row>
    <row r="59" spans="1:11" ht="15.75" customHeight="1" x14ac:dyDescent="0.2">
      <c r="A59" s="70">
        <v>55</v>
      </c>
      <c r="B59" s="71">
        <v>5.7500000000000001E+36</v>
      </c>
      <c r="C59" s="70">
        <v>1.66</v>
      </c>
      <c r="D59" s="70">
        <v>8430</v>
      </c>
      <c r="E59" s="70">
        <v>3.3765999999994398</v>
      </c>
      <c r="F59" s="70">
        <v>1.0000000000000001E-5</v>
      </c>
      <c r="G59" s="72">
        <v>102100</v>
      </c>
      <c r="H59" s="80"/>
      <c r="I59" s="73">
        <f t="shared" si="1"/>
        <v>9895.2715010779466</v>
      </c>
      <c r="J59" s="74">
        <f t="shared" si="0"/>
        <v>72113.536356244091</v>
      </c>
      <c r="K59" s="75">
        <f t="shared" si="2"/>
        <v>7.768857870353954E+33</v>
      </c>
    </row>
    <row r="60" spans="1:11" ht="15.75" customHeight="1" x14ac:dyDescent="0.2">
      <c r="A60" s="70">
        <v>56</v>
      </c>
      <c r="B60" s="71">
        <v>5.8E+36</v>
      </c>
      <c r="C60" s="70">
        <v>1.6719999999999999</v>
      </c>
      <c r="D60" s="70">
        <v>8450</v>
      </c>
      <c r="E60" s="70">
        <v>3.3876999999994299</v>
      </c>
      <c r="F60" s="70">
        <v>1.0000000000000001E-5</v>
      </c>
      <c r="G60" s="72">
        <v>102120</v>
      </c>
      <c r="H60" s="80"/>
      <c r="I60" s="73">
        <f t="shared" si="1"/>
        <v>9913.1021227969777</v>
      </c>
      <c r="J60" s="74">
        <f t="shared" si="0"/>
        <v>69094.989438853212</v>
      </c>
      <c r="K60" s="75">
        <f t="shared" si="2"/>
        <v>7.4377278703993999E+33</v>
      </c>
    </row>
    <row r="61" spans="1:11" ht="15.75" customHeight="1" x14ac:dyDescent="0.2">
      <c r="A61" s="70">
        <v>57</v>
      </c>
      <c r="B61" s="71">
        <v>5.85E+36</v>
      </c>
      <c r="C61" s="70">
        <v>1.6839999999999999</v>
      </c>
      <c r="D61" s="70">
        <v>8470</v>
      </c>
      <c r="E61" s="70">
        <v>3.3987999999994201</v>
      </c>
      <c r="F61" s="70">
        <v>1.0000000000000001E-5</v>
      </c>
      <c r="G61" s="72">
        <v>102140</v>
      </c>
      <c r="H61" s="80"/>
      <c r="I61" s="73">
        <f t="shared" si="1"/>
        <v>9930.949358355474</v>
      </c>
      <c r="J61" s="74">
        <f t="shared" si="0"/>
        <v>66219.896753224704</v>
      </c>
      <c r="K61" s="75">
        <f t="shared" si="2"/>
        <v>7.1197356007535517E+33</v>
      </c>
    </row>
    <row r="62" spans="1:11" ht="15.75" customHeight="1" x14ac:dyDescent="0.2">
      <c r="A62" s="70">
        <v>58</v>
      </c>
      <c r="B62" s="71">
        <v>5.9E+36</v>
      </c>
      <c r="C62" s="70">
        <v>1.696</v>
      </c>
      <c r="D62" s="70">
        <v>8490</v>
      </c>
      <c r="E62" s="70">
        <v>3.4098999999994102</v>
      </c>
      <c r="F62" s="70">
        <v>1.0000000000000001E-5</v>
      </c>
      <c r="G62" s="72">
        <v>102160</v>
      </c>
      <c r="H62" s="80"/>
      <c r="I62" s="73">
        <f t="shared" si="1"/>
        <v>9948.8130176297673</v>
      </c>
      <c r="J62" s="74">
        <f t="shared" si="0"/>
        <v>63480.687409292812</v>
      </c>
      <c r="K62" s="75">
        <f t="shared" si="2"/>
        <v>6.8144140850070585E+33</v>
      </c>
    </row>
    <row r="63" spans="1:11" ht="15.75" customHeight="1" x14ac:dyDescent="0.2">
      <c r="A63" s="70">
        <v>59</v>
      </c>
      <c r="B63" s="71">
        <v>5.95E+36</v>
      </c>
      <c r="C63" s="70">
        <v>1.708</v>
      </c>
      <c r="D63" s="70">
        <v>8510</v>
      </c>
      <c r="E63" s="70">
        <v>3.4209999999993999</v>
      </c>
      <c r="F63" s="70">
        <v>1.0000000000000001E-5</v>
      </c>
      <c r="G63" s="72">
        <v>102180</v>
      </c>
      <c r="H63" s="80"/>
      <c r="I63" s="73">
        <f t="shared" si="1"/>
        <v>9966.6929133861249</v>
      </c>
      <c r="J63" s="74">
        <f t="shared" si="0"/>
        <v>60870.227487746677</v>
      </c>
      <c r="K63" s="75">
        <f t="shared" si="2"/>
        <v>6.5213098257922291E+33</v>
      </c>
    </row>
    <row r="64" spans="1:11" ht="15.75" customHeight="1" x14ac:dyDescent="0.2">
      <c r="A64" s="70">
        <v>60</v>
      </c>
      <c r="B64" s="71">
        <v>6E+36</v>
      </c>
      <c r="C64" s="70">
        <v>1.72</v>
      </c>
      <c r="D64" s="70">
        <v>8530</v>
      </c>
      <c r="E64" s="70">
        <v>3.43209999999939</v>
      </c>
      <c r="F64" s="70">
        <v>1.0000000000000001E-5</v>
      </c>
      <c r="G64" s="72">
        <v>102200</v>
      </c>
      <c r="H64" s="80"/>
      <c r="I64" s="73">
        <f t="shared" si="1"/>
        <v>9984.588861226046</v>
      </c>
      <c r="J64" s="74">
        <f t="shared" si="0"/>
        <v>58381.792770372806</v>
      </c>
      <c r="K64" s="75">
        <f t="shared" si="2"/>
        <v>6.2399826092724587E+33</v>
      </c>
    </row>
    <row r="65" spans="1:11" ht="15.75" customHeight="1" x14ac:dyDescent="0.2">
      <c r="A65" s="70">
        <v>61</v>
      </c>
      <c r="B65" s="71">
        <v>6.0499999999999999E+36</v>
      </c>
      <c r="C65" s="70">
        <v>1.732</v>
      </c>
      <c r="D65" s="70">
        <v>8550</v>
      </c>
      <c r="E65" s="70">
        <v>3.4431999999993801</v>
      </c>
      <c r="F65" s="70">
        <v>1.0000000000000001E-5</v>
      </c>
      <c r="G65" s="72">
        <v>102220</v>
      </c>
      <c r="H65" s="80"/>
      <c r="I65" s="73">
        <f t="shared" si="1"/>
        <v>10002.500679532788</v>
      </c>
      <c r="J65" s="74">
        <f t="shared" si="0"/>
        <v>56009.04329407675</v>
      </c>
      <c r="K65" s="75">
        <f t="shared" si="2"/>
        <v>5.9700052980185977E+33</v>
      </c>
    </row>
    <row r="66" spans="1:11" ht="15.75" customHeight="1" x14ac:dyDescent="0.2">
      <c r="A66" s="70">
        <v>62</v>
      </c>
      <c r="B66" s="71">
        <v>6.0999999999999999E+36</v>
      </c>
      <c r="C66" s="70">
        <v>1.744</v>
      </c>
      <c r="D66" s="70">
        <v>8570</v>
      </c>
      <c r="E66" s="70">
        <v>3.4542999999993702</v>
      </c>
      <c r="F66" s="70">
        <v>1.0000000000000001E-5</v>
      </c>
      <c r="G66" s="72">
        <v>102240</v>
      </c>
      <c r="H66" s="80"/>
      <c r="I66" s="73">
        <f t="shared" si="1"/>
        <v>10020.428189419123</v>
      </c>
      <c r="J66" s="74">
        <f t="shared" si="0"/>
        <v>53745.999598837712</v>
      </c>
      <c r="K66" s="75">
        <f t="shared" si="2"/>
        <v>5.7109636137130733E+33</v>
      </c>
    </row>
    <row r="67" spans="1:11" ht="15.75" customHeight="1" x14ac:dyDescent="0.2">
      <c r="A67" s="70">
        <v>63</v>
      </c>
      <c r="B67" s="71">
        <v>6.1499999999999999E+36</v>
      </c>
      <c r="C67" s="70">
        <v>1.756</v>
      </c>
      <c r="D67" s="70">
        <v>8590</v>
      </c>
      <c r="E67" s="70">
        <v>3.4653999999993599</v>
      </c>
      <c r="F67" s="70">
        <v>1.0000000000000001E-5</v>
      </c>
      <c r="G67" s="72">
        <v>102260</v>
      </c>
      <c r="H67" s="81"/>
      <c r="I67" s="73">
        <f t="shared" si="1"/>
        <v>10038.371214676243</v>
      </c>
      <c r="J67" s="74">
        <f t="shared" si="0"/>
        <v>51587.020549611552</v>
      </c>
      <c r="K67" s="75">
        <f t="shared" si="2"/>
        <v>5.4624559110203857E+33</v>
      </c>
    </row>
    <row r="68" spans="1:11" ht="15.75" customHeight="1" x14ac:dyDescent="0.2">
      <c r="A68" s="70">
        <v>64</v>
      </c>
      <c r="B68" s="71">
        <v>6.1999999999999999E+36</v>
      </c>
      <c r="C68" s="70">
        <v>1.768</v>
      </c>
      <c r="D68" s="70">
        <v>8610</v>
      </c>
      <c r="E68" s="70">
        <v>3.47649999999935</v>
      </c>
      <c r="F68" s="70">
        <v>1.0000000000000001E-5</v>
      </c>
      <c r="G68" s="72">
        <v>102280</v>
      </c>
      <c r="H68" s="78"/>
      <c r="I68" s="73">
        <f t="shared" si="1"/>
        <v>10056.329581723816</v>
      </c>
      <c r="J68" s="74">
        <f t="shared" ref="J68:J104" si="3">(K68*D68/G68)^(1/(2*E68))</f>
        <v>49526.782621181737</v>
      </c>
      <c r="K68" s="75">
        <f t="shared" si="2"/>
        <v>5.2240929438679205E+33</v>
      </c>
    </row>
    <row r="69" spans="1:11" ht="15.75" customHeight="1" x14ac:dyDescent="0.2">
      <c r="A69" s="70">
        <v>65</v>
      </c>
      <c r="B69" s="71">
        <v>6.2499999999999999E+36</v>
      </c>
      <c r="C69" s="70">
        <v>1.78</v>
      </c>
      <c r="D69" s="70">
        <v>8630</v>
      </c>
      <c r="E69" s="70">
        <v>3.4875999999993401</v>
      </c>
      <c r="F69" s="70">
        <v>1.0000000000000001E-5</v>
      </c>
      <c r="G69" s="72">
        <v>102300</v>
      </c>
      <c r="H69" s="78"/>
      <c r="I69" s="73">
        <f t="shared" ref="I69:I104" si="4">2*E69*D69/(2*E69-1)</f>
        <v>10074.303119561169</v>
      </c>
      <c r="J69" s="74">
        <f t="shared" si="3"/>
        <v>47560.260543242694</v>
      </c>
      <c r="K69" s="75">
        <f t="shared" ref="K69:K104" si="5">B69/((1+C69)^(2*E69))</f>
        <v>4.9954976252900448E+33</v>
      </c>
    </row>
    <row r="70" spans="1:11" ht="15.75" customHeight="1" x14ac:dyDescent="0.2">
      <c r="A70" s="70">
        <v>66</v>
      </c>
      <c r="B70" s="71">
        <v>6.2999999999999998E+36</v>
      </c>
      <c r="C70" s="70">
        <v>1.792</v>
      </c>
      <c r="D70" s="70">
        <v>8650</v>
      </c>
      <c r="E70" s="70">
        <v>3.4986999999993298</v>
      </c>
      <c r="F70" s="70">
        <v>1.0000000000000001E-5</v>
      </c>
      <c r="G70" s="72">
        <v>102320</v>
      </c>
      <c r="H70" s="78"/>
      <c r="I70" s="73">
        <f t="shared" si="4"/>
        <v>10092.291659719534</v>
      </c>
      <c r="J70" s="74">
        <f t="shared" si="3"/>
        <v>45682.70921062339</v>
      </c>
      <c r="K70" s="75">
        <f t="shared" si="5"/>
        <v>4.776304781904646E+33</v>
      </c>
    </row>
    <row r="71" spans="1:11" ht="15.75" customHeight="1" x14ac:dyDescent="0.2">
      <c r="A71" s="70">
        <v>67</v>
      </c>
      <c r="B71" s="71">
        <v>6.3499999999999998E+36</v>
      </c>
      <c r="C71" s="70">
        <v>1.804</v>
      </c>
      <c r="D71" s="70">
        <v>8670</v>
      </c>
      <c r="E71" s="70">
        <v>3.5097999999993199</v>
      </c>
      <c r="F71" s="70">
        <v>1.0000000000000001E-5</v>
      </c>
      <c r="G71" s="72">
        <v>102340</v>
      </c>
      <c r="H71" s="78"/>
      <c r="I71" s="73">
        <f t="shared" si="4"/>
        <v>10110.295036215357</v>
      </c>
      <c r="J71" s="74">
        <f t="shared" si="3"/>
        <v>43889.646770598345</v>
      </c>
      <c r="K71" s="75">
        <f t="shared" si="5"/>
        <v>4.5661609040101804E+33</v>
      </c>
    </row>
    <row r="72" spans="1:11" ht="15.75" customHeight="1" x14ac:dyDescent="0.2">
      <c r="A72" s="70">
        <v>68</v>
      </c>
      <c r="B72" s="71">
        <v>6.3999999999999998E+36</v>
      </c>
      <c r="C72" s="70">
        <v>1.8160000000000001</v>
      </c>
      <c r="D72" s="70">
        <v>8690</v>
      </c>
      <c r="E72" s="70">
        <v>3.52089999999931</v>
      </c>
      <c r="F72" s="70">
        <v>1.0000000000000001E-5</v>
      </c>
      <c r="G72" s="72">
        <v>102360</v>
      </c>
      <c r="H72" s="78"/>
      <c r="I72" s="73">
        <f t="shared" si="4"/>
        <v>10128.313085504647</v>
      </c>
      <c r="J72" s="74">
        <f t="shared" si="3"/>
        <v>42176.838805715975</v>
      </c>
      <c r="K72" s="75">
        <f t="shared" si="5"/>
        <v>4.3647238922173142E+33</v>
      </c>
    </row>
    <row r="73" spans="1:11" ht="15.75" customHeight="1" x14ac:dyDescent="0.2">
      <c r="A73" s="70">
        <v>69</v>
      </c>
      <c r="B73" s="71">
        <v>6.4499999999999998E+36</v>
      </c>
      <c r="C73" s="70">
        <v>1.8280000000000001</v>
      </c>
      <c r="D73" s="70">
        <v>8710</v>
      </c>
      <c r="E73" s="70">
        <v>3.5319999999993001</v>
      </c>
      <c r="F73" s="70">
        <v>1.0000000000000001E-5</v>
      </c>
      <c r="G73" s="72">
        <v>102380</v>
      </c>
      <c r="H73" s="78"/>
      <c r="I73" s="73">
        <f t="shared" si="4"/>
        <v>10146.345646438325</v>
      </c>
      <c r="J73" s="74">
        <f t="shared" si="3"/>
        <v>40540.283536556664</v>
      </c>
      <c r="K73" s="75">
        <f t="shared" si="5"/>
        <v>4.1716628014572773E+33</v>
      </c>
    </row>
    <row r="74" spans="1:11" ht="15.75" customHeight="1" x14ac:dyDescent="0.2">
      <c r="A74" s="70">
        <v>70</v>
      </c>
      <c r="B74" s="71">
        <v>6.4999999999999998E+36</v>
      </c>
      <c r="C74" s="70">
        <v>1.84</v>
      </c>
      <c r="D74" s="70">
        <v>8730</v>
      </c>
      <c r="E74" s="70">
        <v>3.5430999999992898</v>
      </c>
      <c r="F74" s="70">
        <v>1.0000000000000001E-5</v>
      </c>
      <c r="G74" s="72">
        <v>102400</v>
      </c>
      <c r="H74" s="78"/>
      <c r="I74" s="73">
        <f t="shared" si="4"/>
        <v>10164.392560218534</v>
      </c>
      <c r="J74" s="74">
        <f t="shared" si="3"/>
        <v>38976.197974357019</v>
      </c>
      <c r="K74" s="75">
        <f t="shared" si="5"/>
        <v>3.9866575831435656E+33</v>
      </c>
    </row>
    <row r="75" spans="1:11" ht="15.75" customHeight="1" x14ac:dyDescent="0.2">
      <c r="A75" s="70">
        <v>71</v>
      </c>
      <c r="B75" s="71">
        <v>6.5499999999999997E+36</v>
      </c>
      <c r="C75" s="70">
        <v>1.8520000000000001</v>
      </c>
      <c r="D75" s="70">
        <v>8750</v>
      </c>
      <c r="E75" s="70">
        <v>3.5541999999992799</v>
      </c>
      <c r="F75" s="70">
        <v>1.0000000000000001E-5</v>
      </c>
      <c r="G75" s="72">
        <v>102420</v>
      </c>
      <c r="H75" s="78"/>
      <c r="I75" s="73">
        <f t="shared" si="4"/>
        <v>10182.453670355913</v>
      </c>
      <c r="J75" s="74">
        <f t="shared" si="3"/>
        <v>37481.004958529586</v>
      </c>
      <c r="K75" s="75">
        <f t="shared" si="5"/>
        <v>3.8093988262002157E+33</v>
      </c>
    </row>
    <row r="76" spans="1:11" ht="15.75" customHeight="1" x14ac:dyDescent="0.2">
      <c r="A76" s="70">
        <v>72</v>
      </c>
      <c r="B76" s="71">
        <v>6.5999999999999997E+36</v>
      </c>
      <c r="C76" s="70">
        <v>1.8640000000000001</v>
      </c>
      <c r="D76" s="70">
        <v>8770</v>
      </c>
      <c r="E76" s="70">
        <v>3.5652999999992701</v>
      </c>
      <c r="F76" s="70">
        <v>1.0000000000000001E-5</v>
      </c>
      <c r="G76" s="72">
        <v>102440</v>
      </c>
      <c r="H76" s="78"/>
      <c r="I76" s="73">
        <f t="shared" si="4"/>
        <v>10200.528822627815</v>
      </c>
      <c r="J76" s="74">
        <f t="shared" si="3"/>
        <v>36051.321018816459</v>
      </c>
      <c r="K76" s="75">
        <f t="shared" si="5"/>
        <v>3.6395874976118981E+33</v>
      </c>
    </row>
    <row r="77" spans="1:11" ht="15.75" customHeight="1" x14ac:dyDescent="0.2">
      <c r="A77" s="70">
        <v>73</v>
      </c>
      <c r="B77" s="71">
        <v>6.6499999999999997E+36</v>
      </c>
      <c r="C77" s="70">
        <v>1.8759999999999999</v>
      </c>
      <c r="D77" s="70">
        <v>8790</v>
      </c>
      <c r="E77" s="70">
        <v>3.5763999999992602</v>
      </c>
      <c r="F77" s="70">
        <v>1.0000000000000001E-5</v>
      </c>
      <c r="G77" s="72">
        <v>102460</v>
      </c>
      <c r="H77" s="78"/>
      <c r="I77" s="73">
        <f t="shared" si="4"/>
        <v>10218.6178650374</v>
      </c>
      <c r="J77" s="74">
        <f t="shared" si="3"/>
        <v>34683.945006158101</v>
      </c>
      <c r="K77" s="75">
        <f t="shared" si="5"/>
        <v>3.4769346830952164E+33</v>
      </c>
    </row>
    <row r="78" spans="1:11" ht="15.75" customHeight="1" x14ac:dyDescent="0.2">
      <c r="A78" s="70">
        <v>74</v>
      </c>
      <c r="B78" s="71">
        <v>6.6999999999999997E+36</v>
      </c>
      <c r="C78" s="70">
        <v>1.8879999999999999</v>
      </c>
      <c r="D78" s="70">
        <v>8810</v>
      </c>
      <c r="E78" s="70">
        <v>3.5874999999992498</v>
      </c>
      <c r="F78" s="70">
        <v>1.0000000000000001E-5</v>
      </c>
      <c r="G78" s="72">
        <v>102480</v>
      </c>
      <c r="H78" s="78"/>
      <c r="I78" s="73">
        <f t="shared" si="4"/>
        <v>10236.720647773625</v>
      </c>
      <c r="J78" s="74">
        <f t="shared" si="3"/>
        <v>33375.847440380312</v>
      </c>
      <c r="K78" s="75">
        <f t="shared" si="5"/>
        <v>3.3211613284397037E+33</v>
      </c>
    </row>
    <row r="79" spans="1:11" ht="15.75" customHeight="1" x14ac:dyDescent="0.2">
      <c r="A79" s="70">
        <v>75</v>
      </c>
      <c r="B79" s="71">
        <v>6.7499999999999997E+36</v>
      </c>
      <c r="C79" s="70">
        <v>1.9</v>
      </c>
      <c r="D79" s="70">
        <v>8830</v>
      </c>
      <c r="E79" s="70">
        <v>3.59859999999924</v>
      </c>
      <c r="F79" s="70">
        <v>1.0000000000000001E-5</v>
      </c>
      <c r="G79" s="72">
        <v>102500</v>
      </c>
      <c r="H79" s="78"/>
      <c r="I79" s="73">
        <f t="shared" si="4"/>
        <v>10254.837023172106</v>
      </c>
      <c r="J79" s="74">
        <f t="shared" si="3"/>
        <v>32124.160526509375</v>
      </c>
      <c r="K79" s="75">
        <f t="shared" si="5"/>
        <v>3.1719979820176601E+33</v>
      </c>
    </row>
    <row r="80" spans="1:11" ht="15.75" customHeight="1" x14ac:dyDescent="0.2">
      <c r="A80" s="70">
        <v>76</v>
      </c>
      <c r="B80" s="71">
        <v>6.7999999999999996E+36</v>
      </c>
      <c r="C80" s="70">
        <v>1.9119999999999999</v>
      </c>
      <c r="D80" s="70">
        <v>8850</v>
      </c>
      <c r="E80" s="70">
        <v>3.6096999999992301</v>
      </c>
      <c r="F80" s="70">
        <v>1.0000000000000001E-5</v>
      </c>
      <c r="G80" s="72">
        <v>102520</v>
      </c>
      <c r="H80" s="78"/>
      <c r="I80" s="73">
        <f t="shared" si="4"/>
        <v>10272.966845676785</v>
      </c>
      <c r="J80" s="74">
        <f t="shared" si="3"/>
        <v>30926.168794962705</v>
      </c>
      <c r="K80" s="75">
        <f t="shared" si="5"/>
        <v>3.0291845389174186E+33</v>
      </c>
    </row>
    <row r="81" spans="1:11" ht="15.75" customHeight="1" x14ac:dyDescent="0.2">
      <c r="A81" s="70">
        <v>77</v>
      </c>
      <c r="B81" s="71">
        <v>6.8499999999999996E+36</v>
      </c>
      <c r="C81" s="70">
        <v>1.9239999999999999</v>
      </c>
      <c r="D81" s="70">
        <v>8870</v>
      </c>
      <c r="E81" s="70">
        <v>3.6207999999992202</v>
      </c>
      <c r="F81" s="70">
        <v>1.0000000000000001E-5</v>
      </c>
      <c r="G81" s="72">
        <v>102540</v>
      </c>
      <c r="H81" s="78"/>
      <c r="I81" s="73">
        <f t="shared" si="4"/>
        <v>10291.109971802458</v>
      </c>
      <c r="J81" s="74">
        <f t="shared" si="3"/>
        <v>29779.300324033622</v>
      </c>
      <c r="K81" s="75">
        <f t="shared" si="5"/>
        <v>2.8924699871114564E+33</v>
      </c>
    </row>
    <row r="82" spans="1:11" ht="15.75" customHeight="1" x14ac:dyDescent="0.2">
      <c r="A82" s="70">
        <v>78</v>
      </c>
      <c r="B82" s="71">
        <v>6.8999999999999996E+36</v>
      </c>
      <c r="C82" s="70">
        <v>1.9359999999999999</v>
      </c>
      <c r="D82" s="70">
        <v>8890</v>
      </c>
      <c r="E82" s="70">
        <v>3.6318999999992099</v>
      </c>
      <c r="F82" s="70">
        <v>1.0000000000000001E-5</v>
      </c>
      <c r="G82" s="72">
        <v>102560</v>
      </c>
      <c r="H82" s="78"/>
      <c r="I82" s="73">
        <f t="shared" si="4"/>
        <v>10309.266260098062</v>
      </c>
      <c r="J82" s="74">
        <f t="shared" si="3"/>
        <v>28681.118506028379</v>
      </c>
      <c r="K82" s="75">
        <f t="shared" si="5"/>
        <v>2.7616121560314151E+33</v>
      </c>
    </row>
    <row r="83" spans="1:11" ht="15.75" customHeight="1" x14ac:dyDescent="0.2">
      <c r="A83" s="70">
        <v>79</v>
      </c>
      <c r="B83" s="71">
        <v>6.9499999999999996E+36</v>
      </c>
      <c r="C83" s="70">
        <v>1.948</v>
      </c>
      <c r="D83" s="70">
        <v>8910</v>
      </c>
      <c r="E83" s="70">
        <v>3.6429999999992</v>
      </c>
      <c r="F83" s="70">
        <v>1.0000000000000001E-5</v>
      </c>
      <c r="G83" s="72">
        <v>102580</v>
      </c>
      <c r="H83" s="78"/>
      <c r="I83" s="73">
        <f t="shared" si="4"/>
        <v>10327.435571110764</v>
      </c>
      <c r="J83" s="74">
        <f t="shared" si="3"/>
        <v>27629.314321132064</v>
      </c>
      <c r="K83" s="75">
        <f t="shared" si="5"/>
        <v>2.6363774678847635E+33</v>
      </c>
    </row>
    <row r="84" spans="1:11" ht="15.75" customHeight="1" x14ac:dyDescent="0.2">
      <c r="A84" s="70">
        <v>80</v>
      </c>
      <c r="B84" s="71">
        <v>6.9999999999999996E+36</v>
      </c>
      <c r="C84" s="70">
        <v>1.96</v>
      </c>
      <c r="D84" s="70">
        <v>8930</v>
      </c>
      <c r="E84" s="70">
        <v>3.6540999999991901</v>
      </c>
      <c r="F84" s="70">
        <v>1.0000000000000001E-5</v>
      </c>
      <c r="G84" s="72">
        <v>102600</v>
      </c>
      <c r="H84" s="78"/>
      <c r="I84" s="73">
        <f t="shared" si="4"/>
        <v>10345.617767350797</v>
      </c>
      <c r="J84" s="74">
        <f t="shared" si="3"/>
        <v>26621.699085595148</v>
      </c>
      <c r="K84" s="75">
        <f t="shared" si="5"/>
        <v>2.5165406920132061E+33</v>
      </c>
    </row>
    <row r="85" spans="1:11" ht="15.75" customHeight="1" x14ac:dyDescent="0.2">
      <c r="A85" s="70">
        <v>81</v>
      </c>
      <c r="B85" s="71">
        <v>7.0499999999999995E+36</v>
      </c>
      <c r="C85" s="70">
        <v>1.972</v>
      </c>
      <c r="D85" s="70">
        <v>8950</v>
      </c>
      <c r="E85" s="70">
        <v>3.6651999999991798</v>
      </c>
      <c r="F85" s="70">
        <v>1.0000000000000001E-5</v>
      </c>
      <c r="G85" s="72">
        <v>102620</v>
      </c>
      <c r="H85" s="78"/>
      <c r="I85" s="73">
        <f t="shared" si="4"/>
        <v>10363.812713257033</v>
      </c>
      <c r="J85" s="74">
        <f t="shared" si="3"/>
        <v>25656.197643166321</v>
      </c>
      <c r="K85" s="75">
        <f t="shared" si="5"/>
        <v>2.4018847025605401E+33</v>
      </c>
    </row>
    <row r="86" spans="1:11" ht="15.75" customHeight="1" x14ac:dyDescent="0.2">
      <c r="A86" s="70">
        <v>82</v>
      </c>
      <c r="B86" s="71">
        <v>7.0999999999999995E+36</v>
      </c>
      <c r="C86" s="70">
        <v>1.984</v>
      </c>
      <c r="D86" s="70">
        <v>8970</v>
      </c>
      <c r="E86" s="70">
        <v>3.6762999999991699</v>
      </c>
      <c r="F86" s="70">
        <v>1.0000000000000001E-5</v>
      </c>
      <c r="G86" s="72">
        <v>102640</v>
      </c>
      <c r="H86" s="78"/>
      <c r="I86" s="73">
        <f t="shared" si="4"/>
        <v>10382.020275163295</v>
      </c>
      <c r="J86" s="74">
        <f t="shared" si="3"/>
        <v>24730.841970853424</v>
      </c>
      <c r="K86" s="75">
        <f t="shared" si="5"/>
        <v>2.2922002396874381E+33</v>
      </c>
    </row>
    <row r="87" spans="1:11" ht="15.75" customHeight="1" x14ac:dyDescent="0.2">
      <c r="A87" s="70">
        <v>83</v>
      </c>
      <c r="B87" s="71">
        <v>7.1499999999999995E+36</v>
      </c>
      <c r="C87" s="70">
        <v>1.996</v>
      </c>
      <c r="D87" s="70">
        <v>8990</v>
      </c>
      <c r="E87" s="70">
        <v>3.68739999999916</v>
      </c>
      <c r="F87" s="70">
        <v>1.0000000000000001E-5</v>
      </c>
      <c r="G87" s="72">
        <v>102660</v>
      </c>
      <c r="H87" s="78"/>
      <c r="I87" s="73">
        <f t="shared" si="4"/>
        <v>10400.240321265353</v>
      </c>
      <c r="J87" s="74">
        <f t="shared" si="3"/>
        <v>23843.76517209825</v>
      </c>
      <c r="K87" s="75">
        <f t="shared" si="5"/>
        <v>2.1872856745426399E+33</v>
      </c>
    </row>
    <row r="88" spans="1:11" ht="15.75" customHeight="1" x14ac:dyDescent="0.2">
      <c r="A88" s="70">
        <v>84</v>
      </c>
      <c r="B88" s="71">
        <v>7.1999999999999995E+36</v>
      </c>
      <c r="C88" s="70">
        <v>2.008</v>
      </c>
      <c r="D88" s="70">
        <v>9010</v>
      </c>
      <c r="E88" s="70">
        <v>3.6984999999991501</v>
      </c>
      <c r="F88" s="70">
        <v>1.0000000000000001E-5</v>
      </c>
      <c r="G88" s="72">
        <v>102680</v>
      </c>
      <c r="H88" s="78"/>
      <c r="I88" s="73">
        <f t="shared" si="4"/>
        <v>10418.47272158862</v>
      </c>
      <c r="J88" s="74">
        <f t="shared" si="3"/>
        <v>22993.195832303365</v>
      </c>
      <c r="K88" s="75">
        <f t="shared" si="5"/>
        <v>2.0869467781737346E+33</v>
      </c>
    </row>
    <row r="89" spans="1:11" ht="15.75" customHeight="1" x14ac:dyDescent="0.2">
      <c r="A89" s="70">
        <v>85</v>
      </c>
      <c r="B89" s="71">
        <v>7.2499999999999995E+36</v>
      </c>
      <c r="C89" s="70">
        <v>2.02</v>
      </c>
      <c r="D89" s="70">
        <v>9030</v>
      </c>
      <c r="E89" s="70">
        <v>3.7095999999991398</v>
      </c>
      <c r="F89" s="70">
        <v>1.0000000000000001E-5</v>
      </c>
      <c r="G89" s="72">
        <v>102700</v>
      </c>
      <c r="H89" s="78"/>
      <c r="I89" s="73">
        <f t="shared" si="4"/>
        <v>10436.717347956508</v>
      </c>
      <c r="J89" s="74">
        <f t="shared" si="3"/>
        <v>22177.452713371764</v>
      </c>
      <c r="K89" s="75">
        <f t="shared" si="5"/>
        <v>1.9909964945365442E+33</v>
      </c>
    </row>
    <row r="90" spans="1:11" ht="15.75" customHeight="1" x14ac:dyDescent="0.2">
      <c r="A90" s="70">
        <v>86</v>
      </c>
      <c r="B90" s="71">
        <v>7.2999999999999994E+36</v>
      </c>
      <c r="C90" s="70">
        <v>2.032</v>
      </c>
      <c r="D90" s="70">
        <v>9050</v>
      </c>
      <c r="E90" s="70">
        <v>3.7206999999991299</v>
      </c>
      <c r="F90" s="70">
        <v>1.0000000000000001E-5</v>
      </c>
      <c r="G90" s="72">
        <v>102720</v>
      </c>
      <c r="H90" s="78"/>
      <c r="I90" s="73">
        <f t="shared" si="4"/>
        <v>10454.974073959456</v>
      </c>
      <c r="J90" s="74">
        <f t="shared" si="3"/>
        <v>21394.939765512539</v>
      </c>
      <c r="K90" s="75">
        <f t="shared" si="5"/>
        <v>1.8992547177394293E+33</v>
      </c>
    </row>
    <row r="91" spans="1:11" ht="15.75" customHeight="1" x14ac:dyDescent="0.2">
      <c r="A91" s="70">
        <v>87</v>
      </c>
      <c r="B91" s="71">
        <v>7.3499999999999994E+36</v>
      </c>
      <c r="C91" s="70">
        <v>2.044</v>
      </c>
      <c r="D91" s="70">
        <v>9070</v>
      </c>
      <c r="E91" s="70">
        <v>3.73179999999912</v>
      </c>
      <c r="F91" s="70">
        <v>1.0000000000000001E-5</v>
      </c>
      <c r="G91" s="72">
        <v>102740</v>
      </c>
      <c r="H91" s="78"/>
      <c r="I91" s="73">
        <f t="shared" si="4"/>
        <v>10473.242774924573</v>
      </c>
      <c r="J91" s="74">
        <f t="shared" si="3"/>
        <v>20644.141436049813</v>
      </c>
      <c r="K91" s="75">
        <f t="shared" si="5"/>
        <v>1.8115480736380088E+33</v>
      </c>
    </row>
    <row r="92" spans="1:11" ht="15.75" customHeight="1" x14ac:dyDescent="0.2">
      <c r="A92" s="70">
        <v>88</v>
      </c>
      <c r="B92" s="71">
        <v>7.4000000000000006E+36</v>
      </c>
      <c r="C92" s="70">
        <v>2.056</v>
      </c>
      <c r="D92" s="70">
        <v>9090</v>
      </c>
      <c r="E92" s="70">
        <v>3.7428999999991102</v>
      </c>
      <c r="F92" s="70">
        <v>1.0000000000000001E-5</v>
      </c>
      <c r="G92" s="72">
        <v>102760</v>
      </c>
      <c r="H92" s="78"/>
      <c r="I92" s="73">
        <f t="shared" si="4"/>
        <v>10491.52332788592</v>
      </c>
      <c r="J92" s="74">
        <f t="shared" si="3"/>
        <v>19923.618256341884</v>
      </c>
      <c r="K92" s="75">
        <f t="shared" si="5"/>
        <v>1.7277097058763342E+33</v>
      </c>
    </row>
    <row r="93" spans="1:11" ht="15.75" customHeight="1" x14ac:dyDescent="0.2">
      <c r="A93" s="70">
        <v>89</v>
      </c>
      <c r="B93" s="71">
        <v>7.4500000000000006E+36</v>
      </c>
      <c r="C93" s="70">
        <v>2.0680000000000001</v>
      </c>
      <c r="D93" s="70">
        <v>9110</v>
      </c>
      <c r="E93" s="70">
        <v>3.7539999999990998</v>
      </c>
      <c r="F93" s="70">
        <v>1.0000000000000001E-5</v>
      </c>
      <c r="G93" s="72">
        <v>102780</v>
      </c>
      <c r="H93" s="78"/>
      <c r="I93" s="73">
        <f t="shared" si="4"/>
        <v>10509.815611555397</v>
      </c>
      <c r="J93" s="74">
        <f t="shared" si="3"/>
        <v>19232.002689197263</v>
      </c>
      <c r="K93" s="75">
        <f t="shared" si="5"/>
        <v>1.6475790664526942E+33</v>
      </c>
    </row>
    <row r="94" spans="1:11" ht="15.75" customHeight="1" x14ac:dyDescent="0.2">
      <c r="A94" s="70">
        <v>90</v>
      </c>
      <c r="B94" s="71">
        <v>7.5000000000000005E+36</v>
      </c>
      <c r="C94" s="70">
        <v>2.08</v>
      </c>
      <c r="D94" s="70">
        <v>9130</v>
      </c>
      <c r="E94" s="70">
        <v>3.76509999999909</v>
      </c>
      <c r="F94" s="70">
        <v>1.0000000000000001E-5</v>
      </c>
      <c r="G94" s="72">
        <v>102800</v>
      </c>
      <c r="H94" s="78"/>
      <c r="I94" s="73">
        <f t="shared" si="4"/>
        <v>10528.119506294224</v>
      </c>
      <c r="J94" s="74">
        <f t="shared" si="3"/>
        <v>18567.995220355246</v>
      </c>
      <c r="K94" s="75">
        <f t="shared" si="5"/>
        <v>1.5710017108715863E+33</v>
      </c>
    </row>
    <row r="95" spans="1:11" ht="15.75" customHeight="1" x14ac:dyDescent="0.2">
      <c r="A95" s="70">
        <v>91</v>
      </c>
      <c r="B95" s="71">
        <v>7.5500000000000005E+36</v>
      </c>
      <c r="C95" s="70">
        <v>2.0920000000000001</v>
      </c>
      <c r="D95" s="70">
        <v>9150</v>
      </c>
      <c r="E95" s="70">
        <v>3.7761999999990801</v>
      </c>
      <c r="F95" s="70">
        <v>1.0000000000000001E-5</v>
      </c>
      <c r="G95" s="72">
        <v>102820</v>
      </c>
      <c r="H95" s="78"/>
      <c r="I95" s="73">
        <f t="shared" si="4"/>
        <v>10546.434894085003</v>
      </c>
      <c r="J95" s="74">
        <f t="shared" si="3"/>
        <v>17930.36067870224</v>
      </c>
      <c r="K95" s="75">
        <f t="shared" si="5"/>
        <v>1.4978290979282141E+33</v>
      </c>
    </row>
    <row r="96" spans="1:11" ht="15.75" customHeight="1" x14ac:dyDescent="0.2">
      <c r="A96" s="70">
        <v>92</v>
      </c>
      <c r="B96" s="71">
        <v>7.6000000000000005E+36</v>
      </c>
      <c r="C96" s="70">
        <v>2.1040000000000001</v>
      </c>
      <c r="D96" s="70">
        <v>9170</v>
      </c>
      <c r="E96" s="70">
        <v>3.7872999999990702</v>
      </c>
      <c r="F96" s="70">
        <v>1.0000000000000001E-5</v>
      </c>
      <c r="G96" s="72">
        <v>102840</v>
      </c>
      <c r="H96" s="78"/>
      <c r="I96" s="73">
        <f t="shared" si="4"/>
        <v>10564.761658504332</v>
      </c>
      <c r="J96" s="74">
        <f t="shared" si="3"/>
        <v>17317.924770915324</v>
      </c>
      <c r="K96" s="75">
        <f t="shared" si="5"/>
        <v>1.4279183941577531E+33</v>
      </c>
    </row>
    <row r="97" spans="1:11" ht="15.75" customHeight="1" x14ac:dyDescent="0.2">
      <c r="A97" s="70">
        <v>93</v>
      </c>
      <c r="B97" s="71">
        <v>7.6500000000000005E+36</v>
      </c>
      <c r="C97" s="70">
        <v>2.1160000000000001</v>
      </c>
      <c r="D97" s="70">
        <v>9190</v>
      </c>
      <c r="E97" s="70">
        <v>3.7983999999990599</v>
      </c>
      <c r="F97" s="70">
        <v>1.0000000000000001E-5</v>
      </c>
      <c r="G97" s="72">
        <v>102860</v>
      </c>
      <c r="H97" s="78"/>
      <c r="I97" s="73">
        <f t="shared" si="4"/>
        <v>10583.099684696006</v>
      </c>
      <c r="J97" s="74">
        <f t="shared" si="3"/>
        <v>16729.570817176336</v>
      </c>
      <c r="K97" s="75">
        <f t="shared" si="5"/>
        <v>1.3611322829687584E+33</v>
      </c>
    </row>
    <row r="98" spans="1:11" ht="15.75" customHeight="1" x14ac:dyDescent="0.2">
      <c r="A98" s="70">
        <v>94</v>
      </c>
      <c r="B98" s="71">
        <v>7.7000000000000005E+36</v>
      </c>
      <c r="C98" s="70">
        <v>2.1280000000000001</v>
      </c>
      <c r="D98" s="70">
        <v>9210</v>
      </c>
      <c r="E98" s="70">
        <v>3.80949999999905</v>
      </c>
      <c r="F98" s="70">
        <v>1.0000000000000001E-5</v>
      </c>
      <c r="G98" s="72">
        <v>102880</v>
      </c>
      <c r="H98" s="78"/>
      <c r="I98" s="73">
        <f t="shared" si="4"/>
        <v>10601.448859344711</v>
      </c>
      <c r="J98" s="74">
        <f t="shared" si="3"/>
        <v>16164.236675483529</v>
      </c>
      <c r="K98" s="75">
        <f t="shared" si="5"/>
        <v>1.2973387784681475E+33</v>
      </c>
    </row>
    <row r="99" spans="1:11" ht="15.75" customHeight="1" x14ac:dyDescent="0.2">
      <c r="A99" s="70">
        <v>95</v>
      </c>
      <c r="B99" s="71">
        <v>7.7500000000000004E+36</v>
      </c>
      <c r="C99" s="70">
        <v>2.14</v>
      </c>
      <c r="D99" s="70">
        <v>9230</v>
      </c>
      <c r="E99" s="70">
        <v>3.8205999999990401</v>
      </c>
      <c r="F99" s="70">
        <v>1.0000000000000001E-5</v>
      </c>
      <c r="G99" s="72">
        <v>102900</v>
      </c>
      <c r="H99" s="78"/>
      <c r="I99" s="73">
        <f t="shared" si="4"/>
        <v>10619.809070650283</v>
      </c>
      <c r="J99" s="74">
        <f t="shared" si="3"/>
        <v>15620.911842909451</v>
      </c>
      <c r="K99" s="75">
        <f t="shared" si="5"/>
        <v>1.2364110439744991E+33</v>
      </c>
    </row>
    <row r="100" spans="1:11" ht="15.75" customHeight="1" x14ac:dyDescent="0.2">
      <c r="A100" s="70">
        <v>96</v>
      </c>
      <c r="B100" s="71">
        <v>7.8000000000000004E+36</v>
      </c>
      <c r="C100" s="70">
        <v>2.1520000000000001</v>
      </c>
      <c r="D100" s="70">
        <v>9250</v>
      </c>
      <c r="E100" s="70">
        <v>3.8316999999990302</v>
      </c>
      <c r="F100" s="70">
        <v>1.0000000000000001E-5</v>
      </c>
      <c r="G100" s="72">
        <v>102920</v>
      </c>
      <c r="H100" s="78"/>
      <c r="I100" s="73">
        <f t="shared" si="4"/>
        <v>10638.180208302472</v>
      </c>
      <c r="J100" s="74">
        <f t="shared" si="3"/>
        <v>15098.634722918832</v>
      </c>
      <c r="K100" s="75">
        <f t="shared" si="5"/>
        <v>1.1782272152063403E+33</v>
      </c>
    </row>
    <row r="101" spans="1:11" ht="15.75" customHeight="1" x14ac:dyDescent="0.2">
      <c r="A101" s="70">
        <v>97</v>
      </c>
      <c r="B101" s="71">
        <v>7.8500000000000004E+36</v>
      </c>
      <c r="C101" s="70">
        <v>2.1640000000000001</v>
      </c>
      <c r="D101" s="70">
        <v>9270</v>
      </c>
      <c r="E101" s="70">
        <v>3.8427999999990199</v>
      </c>
      <c r="F101" s="70">
        <v>1.0000000000000001E-5</v>
      </c>
      <c r="G101" s="72">
        <v>102940</v>
      </c>
      <c r="H101" s="78"/>
      <c r="I101" s="73">
        <f t="shared" si="4"/>
        <v>10656.562163456192</v>
      </c>
      <c r="J101" s="74">
        <f t="shared" si="3"/>
        <v>14596.490048571719</v>
      </c>
      <c r="K101" s="75">
        <f t="shared" si="5"/>
        <v>1.1226702281232085E+33</v>
      </c>
    </row>
    <row r="102" spans="1:11" ht="15.75" customHeight="1" x14ac:dyDescent="0.2">
      <c r="A102" s="70">
        <v>98</v>
      </c>
      <c r="B102" s="71">
        <v>7.9000000000000004E+36</v>
      </c>
      <c r="C102" s="70">
        <v>2.1760000000000002</v>
      </c>
      <c r="D102" s="70">
        <v>9290</v>
      </c>
      <c r="E102" s="70">
        <v>3.85389999999901</v>
      </c>
      <c r="F102" s="70">
        <v>1.0000000000000001E-5</v>
      </c>
      <c r="G102" s="72">
        <v>102960</v>
      </c>
      <c r="H102" s="78"/>
      <c r="I102" s="73">
        <f t="shared" si="4"/>
        <v>10674.954828707287</v>
      </c>
      <c r="J102" s="74">
        <f t="shared" si="3"/>
        <v>14113.606452100143</v>
      </c>
      <c r="K102" s="75">
        <f t="shared" si="5"/>
        <v>1.0696276513889559E+33</v>
      </c>
    </row>
    <row r="103" spans="1:11" ht="15.75" customHeight="1" x14ac:dyDescent="0.2">
      <c r="A103" s="70">
        <v>99</v>
      </c>
      <c r="B103" s="71">
        <v>7.9500000000000004E+36</v>
      </c>
      <c r="C103" s="70">
        <v>2.1880000000000002</v>
      </c>
      <c r="D103" s="70">
        <v>9310</v>
      </c>
      <c r="E103" s="70">
        <v>3.8649999999990001</v>
      </c>
      <c r="F103" s="70">
        <v>1.0000000000000001E-5</v>
      </c>
      <c r="G103" s="72">
        <v>102980</v>
      </c>
      <c r="H103" s="78"/>
      <c r="I103" s="73">
        <f t="shared" si="4"/>
        <v>10693.35809806876</v>
      </c>
      <c r="J103" s="74">
        <f t="shared" si="3"/>
        <v>13649.154171963011</v>
      </c>
      <c r="K103" s="75">
        <f t="shared" si="5"/>
        <v>1.0189915234194672E+33</v>
      </c>
    </row>
    <row r="104" spans="1:11" ht="15.75" customHeight="1" x14ac:dyDescent="0.2">
      <c r="A104" s="70">
        <v>100</v>
      </c>
      <c r="B104" s="71">
        <v>8.0000000000000003E+36</v>
      </c>
      <c r="C104" s="70">
        <v>2.2000000000000002</v>
      </c>
      <c r="D104" s="70">
        <v>9330</v>
      </c>
      <c r="E104" s="70">
        <v>3.8760999999989898</v>
      </c>
      <c r="F104" s="70">
        <v>1.0000000000000001E-5</v>
      </c>
      <c r="G104" s="72">
        <v>103000</v>
      </c>
      <c r="H104" s="78"/>
      <c r="I104" s="73">
        <f t="shared" si="4"/>
        <v>10711.771866947483</v>
      </c>
      <c r="J104" s="74">
        <f t="shared" si="3"/>
        <v>13202.342889058578</v>
      </c>
      <c r="K104" s="75">
        <f t="shared" si="5"/>
        <v>9.7065819397018245E+32</v>
      </c>
    </row>
    <row r="106" spans="1:11" x14ac:dyDescent="0.2">
      <c r="J106" s="82"/>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0B69-657C-4046-BA2C-2597EF23D861}">
  <dimension ref="A1:L33"/>
  <sheetViews>
    <sheetView tabSelected="1" zoomScale="70" zoomScaleNormal="70" workbookViewId="0">
      <selection activeCell="G39" sqref="G39"/>
    </sheetView>
  </sheetViews>
  <sheetFormatPr defaultRowHeight="12.75" x14ac:dyDescent="0.2"/>
  <cols>
    <col min="1" max="1" width="4.85546875" customWidth="1"/>
    <col min="2" max="2" width="8" bestFit="1" customWidth="1"/>
    <col min="3" max="3" width="12.7109375" bestFit="1" customWidth="1"/>
    <col min="4" max="4" width="12"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2" ht="15.75" x14ac:dyDescent="0.25">
      <c r="A1" s="146" t="s">
        <v>85</v>
      </c>
      <c r="B1" s="147"/>
      <c r="C1" s="147"/>
      <c r="D1" s="147"/>
      <c r="E1" s="146" t="s">
        <v>86</v>
      </c>
      <c r="F1" s="147"/>
      <c r="G1" s="147"/>
      <c r="H1" s="147"/>
      <c r="I1" s="147"/>
      <c r="J1" s="150"/>
      <c r="K1" s="124"/>
      <c r="L1">
        <v>1</v>
      </c>
    </row>
    <row r="2" spans="1:12" ht="16.5" thickBot="1" x14ac:dyDescent="0.3">
      <c r="A2" s="148"/>
      <c r="B2" s="149"/>
      <c r="C2" s="149"/>
      <c r="D2" s="149"/>
      <c r="E2" s="148"/>
      <c r="F2" s="149"/>
      <c r="G2" s="149"/>
      <c r="H2" s="149"/>
      <c r="I2" s="149"/>
      <c r="J2" s="151"/>
      <c r="K2" s="124"/>
    </row>
    <row r="3" spans="1:12" ht="69.75" thickBot="1" x14ac:dyDescent="0.3">
      <c r="A3" s="125" t="s">
        <v>1</v>
      </c>
      <c r="B3" s="126" t="s">
        <v>87</v>
      </c>
      <c r="C3" s="126" t="s">
        <v>88</v>
      </c>
      <c r="D3" s="126" t="s">
        <v>89</v>
      </c>
      <c r="E3" s="127" t="s">
        <v>90</v>
      </c>
      <c r="F3" s="127" t="s">
        <v>91</v>
      </c>
      <c r="G3" s="128" t="s">
        <v>92</v>
      </c>
      <c r="H3" s="129" t="s">
        <v>93</v>
      </c>
      <c r="I3" s="128" t="s">
        <v>92</v>
      </c>
      <c r="J3" s="128" t="s">
        <v>94</v>
      </c>
    </row>
    <row r="4" spans="1:12" ht="13.5" thickBot="1" x14ac:dyDescent="0.25">
      <c r="A4" s="130">
        <v>1</v>
      </c>
      <c r="B4" s="131">
        <f ca="1">IF(A4=sheet4!$H$8,sheet4!$K$10,B4)</f>
        <v>3.8196601126090848E+16</v>
      </c>
      <c r="C4" s="131">
        <f ca="1">ABS($F$4-B4)</f>
        <v>3.819660112501052E+16</v>
      </c>
      <c r="D4" s="132"/>
      <c r="E4" s="133">
        <f>INDEX(H4:H24,L1)</f>
        <v>1</v>
      </c>
      <c r="F4" s="134">
        <f>sheet1!J6</f>
        <v>1080326.2091186845</v>
      </c>
      <c r="G4" s="135">
        <f ca="1">ABS((D23-D22)/D23)</f>
        <v>0</v>
      </c>
      <c r="H4" s="136">
        <v>1</v>
      </c>
      <c r="I4" s="137">
        <f ca="1">IF($E$4=H4,$G$4,I4)</f>
        <v>0</v>
      </c>
      <c r="J4" s="138">
        <f ca="1">MIN(I4:I24)</f>
        <v>0</v>
      </c>
    </row>
    <row r="5" spans="1:12" x14ac:dyDescent="0.2">
      <c r="A5" s="139">
        <v>2</v>
      </c>
      <c r="B5" s="1">
        <f ca="1">IF(A5=sheet4!$H$8,sheet4!$K$10,B5)</f>
        <v>2.3606797751059304E+16</v>
      </c>
      <c r="C5" s="1">
        <f t="shared" ref="C5:C23" ca="1" si="0">ABS($F$4-B5)</f>
        <v>2.3606797749978976E+16</v>
      </c>
      <c r="D5" s="140">
        <f t="shared" ref="D5:D23" ca="1" si="1">C5/C4^$E$4</f>
        <v>0.6180339887498949</v>
      </c>
      <c r="H5" s="141">
        <v>1.05</v>
      </c>
      <c r="I5" s="140">
        <f t="shared" ref="I5:I24" ca="1" si="2">IF($E$4=H5,$G$4,I5)</f>
        <v>2.3773442824427785E-2</v>
      </c>
    </row>
    <row r="6" spans="1:12" x14ac:dyDescent="0.2">
      <c r="A6" s="139">
        <v>3</v>
      </c>
      <c r="B6" s="1">
        <f ca="1">IF(A6=sheet4!$H$8,sheet4!$K$10,B6)</f>
        <v>1.4589803376111876E+16</v>
      </c>
      <c r="C6" s="1">
        <f t="shared" ca="1" si="0"/>
        <v>1.458980337503155E+16</v>
      </c>
      <c r="D6" s="140">
        <f t="shared" ca="1" si="1"/>
        <v>0.6180339887498949</v>
      </c>
      <c r="H6" s="141">
        <v>1.1000000000000001</v>
      </c>
      <c r="I6" s="140">
        <f t="shared" ca="1" si="2"/>
        <v>4.6981739626055903E-2</v>
      </c>
    </row>
    <row r="7" spans="1:12" x14ac:dyDescent="0.2">
      <c r="A7" s="139">
        <v>4</v>
      </c>
      <c r="B7" s="1">
        <f ca="1">IF(A7=sheet4!$H$8,sheet4!$K$10,B7)</f>
        <v>9016994376027754</v>
      </c>
      <c r="C7" s="1">
        <f t="shared" ca="1" si="0"/>
        <v>9016994374947428</v>
      </c>
      <c r="D7" s="140">
        <f t="shared" ca="1" si="1"/>
        <v>0.6180339887498949</v>
      </c>
      <c r="H7" s="141">
        <v>1.1499999999999999</v>
      </c>
      <c r="I7" s="140">
        <f t="shared" ca="1" si="2"/>
        <v>6.9638261870110324E-2</v>
      </c>
    </row>
    <row r="8" spans="1:12" x14ac:dyDescent="0.2">
      <c r="A8" s="139">
        <v>5</v>
      </c>
      <c r="B8" s="1">
        <f ca="1">IF(A8=sheet4!$H$8,sheet4!$K$10,B8)</f>
        <v>5572809001164450</v>
      </c>
      <c r="C8" s="1">
        <f t="shared" ca="1" si="0"/>
        <v>5572809000084124</v>
      </c>
      <c r="D8" s="140">
        <f t="shared" ca="1" si="1"/>
        <v>0.6180339887498949</v>
      </c>
      <c r="H8" s="141">
        <v>1.2</v>
      </c>
      <c r="I8" s="140">
        <f t="shared" ca="1" si="2"/>
        <v>9.1756160646459015E-2</v>
      </c>
    </row>
    <row r="9" spans="1:12" x14ac:dyDescent="0.2">
      <c r="A9" s="139">
        <v>6</v>
      </c>
      <c r="B9" s="1">
        <f ca="1">IF(A9=sheet4!$H$8,sheet4!$K$10,B9)</f>
        <v>3444185375943630.5</v>
      </c>
      <c r="C9" s="1">
        <f t="shared" ca="1" si="0"/>
        <v>3444185374863304.5</v>
      </c>
      <c r="D9" s="140">
        <f t="shared" ca="1" si="1"/>
        <v>0.6180339887498949</v>
      </c>
      <c r="H9" s="141">
        <v>1.25</v>
      </c>
      <c r="I9" s="140">
        <f t="shared" ca="1" si="2"/>
        <v>0.11334824088767544</v>
      </c>
    </row>
    <row r="10" spans="1:12" x14ac:dyDescent="0.2">
      <c r="A10" s="139">
        <v>7</v>
      </c>
      <c r="B10" s="1">
        <f ca="1">IF(A10=sheet4!$H$8,sheet4!$K$10,B10)</f>
        <v>2128623626301146.3</v>
      </c>
      <c r="C10" s="1">
        <f t="shared" ca="1" si="0"/>
        <v>2128623625220820</v>
      </c>
      <c r="D10" s="140">
        <f t="shared" ca="1" si="1"/>
        <v>0.6180339887498949</v>
      </c>
      <c r="H10" s="141">
        <v>1.3</v>
      </c>
      <c r="I10" s="140">
        <f t="shared" ca="1" si="2"/>
        <v>0.13442700310906447</v>
      </c>
    </row>
    <row r="11" spans="1:12" x14ac:dyDescent="0.2">
      <c r="A11" s="139">
        <v>8</v>
      </c>
      <c r="B11" s="1">
        <f ca="1">IF(A11=sheet4!$H$8,sheet4!$K$10,B11)</f>
        <v>1315561750722811</v>
      </c>
      <c r="C11" s="1">
        <f t="shared" ca="1" si="0"/>
        <v>1315561749642484.8</v>
      </c>
      <c r="D11" s="140">
        <f t="shared" ca="1" si="1"/>
        <v>0.6180339887498949</v>
      </c>
      <c r="H11" s="141">
        <v>1.35</v>
      </c>
      <c r="I11" s="140">
        <f t="shared" ca="1" si="2"/>
        <v>0.15500465064565749</v>
      </c>
    </row>
    <row r="12" spans="1:12" x14ac:dyDescent="0.2">
      <c r="A12" s="139">
        <v>9</v>
      </c>
      <c r="B12" s="1">
        <f ca="1">IF(A12=sheet4!$H$8,sheet4!$K$10,B12)</f>
        <v>813061876658661.75</v>
      </c>
      <c r="C12" s="1">
        <f t="shared" ca="1" si="0"/>
        <v>813061875578335.5</v>
      </c>
      <c r="D12" s="140">
        <f t="shared" ca="1" si="1"/>
        <v>0.6180339887498949</v>
      </c>
      <c r="H12" s="141">
        <v>1.4</v>
      </c>
      <c r="I12" s="140">
        <f t="shared" ca="1" si="2"/>
        <v>0.17509309671726034</v>
      </c>
    </row>
    <row r="13" spans="1:12" x14ac:dyDescent="0.2">
      <c r="A13" s="139">
        <v>10</v>
      </c>
      <c r="B13" s="1">
        <f ca="1">IF(A13=sheet4!$H$8,sheet4!$K$10,B13)</f>
        <v>502499875144475.63</v>
      </c>
      <c r="C13" s="1">
        <f t="shared" ca="1" si="0"/>
        <v>502499874064149.44</v>
      </c>
      <c r="D13" s="140">
        <f t="shared" ca="1" si="1"/>
        <v>0.6180339887498949</v>
      </c>
      <c r="H13" s="141">
        <v>1.45</v>
      </c>
      <c r="I13" s="140">
        <f t="shared" ca="1" si="2"/>
        <v>0.19470397132544023</v>
      </c>
    </row>
    <row r="14" spans="1:12" x14ac:dyDescent="0.2">
      <c r="A14" s="139">
        <v>11</v>
      </c>
      <c r="B14" s="1">
        <f ca="1">IF(A14=sheet4!$H$8,sheet4!$K$10,B14)</f>
        <v>310562002594512.31</v>
      </c>
      <c r="C14" s="1">
        <f t="shared" ca="1" si="0"/>
        <v>310562001514186.13</v>
      </c>
      <c r="D14" s="140">
        <f t="shared" ca="1" si="1"/>
        <v>0.6180339887498949</v>
      </c>
      <c r="H14" s="141">
        <v>1.5</v>
      </c>
      <c r="I14" s="140">
        <f t="shared" ca="1" si="2"/>
        <v>0.2138486279866518</v>
      </c>
    </row>
    <row r="15" spans="1:12" x14ac:dyDescent="0.2">
      <c r="A15" s="139">
        <v>12</v>
      </c>
      <c r="B15" s="1">
        <f ca="1">IF(A15=sheet4!$H$8,sheet4!$K$10,B15)</f>
        <v>191937873630289.56</v>
      </c>
      <c r="C15" s="1">
        <f t="shared" ca="1" si="0"/>
        <v>191937872549963.34</v>
      </c>
      <c r="D15" s="140">
        <f t="shared" ca="1" si="1"/>
        <v>0.6180339887498949</v>
      </c>
      <c r="H15" s="141">
        <v>1.55</v>
      </c>
      <c r="I15" s="140">
        <f t="shared" ca="1" si="2"/>
        <v>0.23253815030517</v>
      </c>
    </row>
    <row r="16" spans="1:12" x14ac:dyDescent="0.2">
      <c r="A16" s="139">
        <v>13</v>
      </c>
      <c r="B16" s="1">
        <f ca="1">IF(A16=sheet4!$H$8,sheet4!$K$10,B16)</f>
        <v>118624130044549.02</v>
      </c>
      <c r="C16" s="1">
        <f t="shared" ca="1" si="0"/>
        <v>118624128964222.81</v>
      </c>
      <c r="D16" s="140">
        <f t="shared" ca="1" si="1"/>
        <v>0.6180339887498949</v>
      </c>
      <c r="H16" s="141">
        <v>1.6</v>
      </c>
      <c r="I16" s="140">
        <f t="shared" ca="1" si="2"/>
        <v>0.25078335838990395</v>
      </c>
    </row>
    <row r="17" spans="1:11" x14ac:dyDescent="0.2">
      <c r="A17" s="139">
        <v>14</v>
      </c>
      <c r="B17" s="1">
        <f ca="1">IF(A17=sheet4!$H$8,sheet4!$K$10,B17)</f>
        <v>73313744666066.766</v>
      </c>
      <c r="C17" s="1">
        <f t="shared" ca="1" si="0"/>
        <v>73313743585740.563</v>
      </c>
      <c r="D17" s="140">
        <f t="shared" ca="1" si="1"/>
        <v>0.6180339887498949</v>
      </c>
      <c r="H17" s="141">
        <v>1.65</v>
      </c>
      <c r="I17" s="140">
        <f t="shared" ca="1" si="2"/>
        <v>0.26859481511854966</v>
      </c>
    </row>
    <row r="18" spans="1:11" x14ac:dyDescent="0.2">
      <c r="A18" s="139">
        <v>15</v>
      </c>
      <c r="B18" s="1">
        <f ca="1">IF(A18=sheet4!$H$8,sheet4!$K$10,B18)</f>
        <v>45310386458808.477</v>
      </c>
      <c r="C18" s="1">
        <f t="shared" ca="1" si="0"/>
        <v>45310385378482.266</v>
      </c>
      <c r="D18" s="140">
        <f t="shared" ca="1" si="1"/>
        <v>0.6180339887498949</v>
      </c>
      <c r="H18" s="141">
        <v>1.7</v>
      </c>
      <c r="I18" s="140">
        <f t="shared" ca="1" si="2"/>
        <v>0.28598283225285004</v>
      </c>
    </row>
    <row r="19" spans="1:11" x14ac:dyDescent="0.2">
      <c r="A19" s="139">
        <v>16</v>
      </c>
      <c r="B19" s="1">
        <f ca="1">IF(A19=sheet4!$H$8,sheet4!$K$10,B19)</f>
        <v>28003359287584.52</v>
      </c>
      <c r="C19" s="1">
        <f t="shared" ca="1" si="0"/>
        <v>28003358207258.309</v>
      </c>
      <c r="D19" s="140">
        <f t="shared" ca="1" si="1"/>
        <v>0.6180339887498949</v>
      </c>
      <c r="H19" s="141">
        <v>1.75</v>
      </c>
      <c r="I19" s="140">
        <f t="shared" ca="1" si="2"/>
        <v>0.30295747640852122</v>
      </c>
    </row>
    <row r="20" spans="1:11" x14ac:dyDescent="0.2">
      <c r="A20" s="139">
        <v>17</v>
      </c>
      <c r="B20" s="1">
        <f ca="1">IF(A20=sheet4!$H$8,sheet4!$K$10,B20)</f>
        <v>17307028251550.168</v>
      </c>
      <c r="C20" s="1">
        <f t="shared" ca="1" si="0"/>
        <v>17307027171223.959</v>
      </c>
      <c r="D20" s="140">
        <f t="shared" ca="1" si="1"/>
        <v>0.6180339887498949</v>
      </c>
      <c r="H20" s="141">
        <v>1.8</v>
      </c>
      <c r="I20" s="140">
        <f t="shared" ca="1" si="2"/>
        <v>0.31952857488317726</v>
      </c>
    </row>
    <row r="21" spans="1:11" x14ac:dyDescent="0.2">
      <c r="A21" s="139">
        <v>18</v>
      </c>
      <c r="B21" s="1">
        <f ca="1">IF(A21=sheet4!$H$8,sheet4!$K$10,B21)</f>
        <v>10696332116360.563</v>
      </c>
      <c r="C21" s="1">
        <f t="shared" ca="1" si="0"/>
        <v>10696331036034.354</v>
      </c>
      <c r="D21" s="140">
        <f t="shared" ca="1" si="1"/>
        <v>0.6180339887498949</v>
      </c>
      <c r="H21" s="141">
        <v>1.85</v>
      </c>
      <c r="I21" s="140">
        <f t="shared" ca="1" si="2"/>
        <v>0.33570572134578319</v>
      </c>
    </row>
    <row r="22" spans="1:11" x14ac:dyDescent="0.2">
      <c r="A22" s="139">
        <v>19</v>
      </c>
      <c r="B22" s="1">
        <f ca="1">IF(A22=sheet4!$H$8,sheet4!$K$10,B22)</f>
        <v>6610697215515.8164</v>
      </c>
      <c r="C22" s="1">
        <f t="shared" ca="1" si="0"/>
        <v>6610696135189.6074</v>
      </c>
      <c r="D22" s="140">
        <f t="shared" ca="1" si="1"/>
        <v>0.6180339887498949</v>
      </c>
      <c r="H22" s="141">
        <v>1.9</v>
      </c>
      <c r="I22" s="140">
        <f t="shared" ca="1" si="2"/>
        <v>0.35149828139077283</v>
      </c>
    </row>
    <row r="23" spans="1:11" ht="13.5" thickBot="1" x14ac:dyDescent="0.25">
      <c r="A23" s="142">
        <v>20</v>
      </c>
      <c r="B23" s="143">
        <f ca="1">IF(A23=sheet4!$H$8,sheet4!$K$10,B23)</f>
        <v>4085635981170.9565</v>
      </c>
      <c r="C23" s="143">
        <f t="shared" ca="1" si="0"/>
        <v>4085634900844.7476</v>
      </c>
      <c r="D23" s="144">
        <f t="shared" ca="1" si="1"/>
        <v>0.6180339887498949</v>
      </c>
      <c r="H23" s="141">
        <v>1.95</v>
      </c>
      <c r="I23" s="140">
        <f t="shared" ca="1" si="2"/>
        <v>0.36691539796020395</v>
      </c>
    </row>
    <row r="24" spans="1:11" ht="13.5" thickBot="1" x14ac:dyDescent="0.25">
      <c r="H24" s="145">
        <v>2</v>
      </c>
      <c r="I24" s="144">
        <f t="shared" ca="1" si="2"/>
        <v>0.38196599663693692</v>
      </c>
    </row>
    <row r="26" spans="1:11" ht="12.75" customHeight="1" x14ac:dyDescent="0.2">
      <c r="G26" s="152" t="s">
        <v>95</v>
      </c>
      <c r="H26" s="152"/>
      <c r="I26" s="152"/>
      <c r="J26" s="152"/>
      <c r="K26" s="152"/>
    </row>
    <row r="27" spans="1:11" ht="12.75" customHeight="1" x14ac:dyDescent="0.2">
      <c r="G27" s="152"/>
      <c r="H27" s="152"/>
      <c r="I27" s="152"/>
      <c r="J27" s="152"/>
      <c r="K27" s="152"/>
    </row>
    <row r="28" spans="1:11" ht="12.75" customHeight="1" x14ac:dyDescent="0.2">
      <c r="G28" s="152"/>
      <c r="H28" s="152"/>
      <c r="I28" s="152"/>
      <c r="J28" s="152"/>
      <c r="K28" s="152"/>
    </row>
    <row r="29" spans="1:11" ht="12.75" customHeight="1" x14ac:dyDescent="0.2">
      <c r="G29" s="152"/>
      <c r="H29" s="152"/>
      <c r="I29" s="152"/>
      <c r="J29" s="152"/>
      <c r="K29" s="152"/>
    </row>
    <row r="30" spans="1:11" ht="12.75" customHeight="1" x14ac:dyDescent="0.2">
      <c r="G30" s="152"/>
      <c r="H30" s="152"/>
      <c r="I30" s="152"/>
      <c r="J30" s="152"/>
      <c r="K30" s="152"/>
    </row>
    <row r="31" spans="1:11" ht="13.5" customHeight="1" x14ac:dyDescent="0.2">
      <c r="G31" s="152"/>
      <c r="H31" s="152"/>
      <c r="I31" s="152"/>
      <c r="J31" s="152"/>
      <c r="K31" s="152"/>
    </row>
    <row r="32" spans="1:11" ht="12.75" customHeight="1" x14ac:dyDescent="0.2">
      <c r="G32" s="152"/>
      <c r="H32" s="152"/>
      <c r="I32" s="152"/>
      <c r="J32" s="152"/>
      <c r="K32" s="152"/>
    </row>
    <row r="33" spans="7:11" ht="12.75" customHeight="1" x14ac:dyDescent="0.2">
      <c r="G33" s="152"/>
      <c r="H33" s="152"/>
      <c r="I33" s="152"/>
      <c r="J33" s="152"/>
      <c r="K33" s="152"/>
    </row>
  </sheetData>
  <mergeCells count="3">
    <mergeCell ref="A1:D2"/>
    <mergeCell ref="E1:J2"/>
    <mergeCell ref="G26:K33"/>
  </mergeCells>
  <conditionalFormatting sqref="H4:H24 I5:I24">
    <cfRule type="expression" dxfId="5" priority="1" stopIfTrue="1">
      <formula>$J$4=$I4</formula>
    </cfRule>
  </conditionalFormatting>
  <conditionalFormatting sqref="I4">
    <cfRule type="expression" dxfId="4" priority="2" stopIfTrue="1">
      <formula>$J$4=$I4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List Box 1">
              <controlPr defaultSize="0" autoLine="0" autoPict="0">
                <anchor moveWithCells="1">
                  <from>
                    <xdr:col>4</xdr:col>
                    <xdr:colOff>57150</xdr:colOff>
                    <xdr:row>5</xdr:row>
                    <xdr:rowOff>0</xdr:rowOff>
                  </from>
                  <to>
                    <xdr:col>5</xdr:col>
                    <xdr:colOff>161925</xdr:colOff>
                    <xdr:row>21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
  <dimension ref="A1:P22"/>
  <sheetViews>
    <sheetView workbookViewId="0">
      <selection activeCell="C27" sqref="C27"/>
    </sheetView>
  </sheetViews>
  <sheetFormatPr defaultRowHeight="12.75" x14ac:dyDescent="0.2"/>
  <cols>
    <col min="1" max="1" width="3.28515625" customWidth="1"/>
    <col min="2" max="2" width="15" customWidth="1"/>
    <col min="3" max="3" width="17.7109375" customWidth="1"/>
    <col min="4" max="4" width="13.85546875" customWidth="1"/>
    <col min="5" max="5" width="13.5703125" customWidth="1"/>
    <col min="6" max="6" width="15.5703125" customWidth="1"/>
    <col min="7" max="7" width="13.5703125" customWidth="1"/>
    <col min="8" max="8" width="12.140625" customWidth="1"/>
    <col min="9" max="9" width="15" customWidth="1"/>
    <col min="10" max="10" width="15.5703125" customWidth="1"/>
    <col min="12" max="12" width="12.42578125" bestFit="1" customWidth="1"/>
  </cols>
  <sheetData>
    <row r="1" spans="1:15" x14ac:dyDescent="0.2">
      <c r="A1" t="s">
        <v>43</v>
      </c>
    </row>
    <row r="2" spans="1:15" x14ac:dyDescent="0.2">
      <c r="A2" t="s">
        <v>38</v>
      </c>
    </row>
    <row r="3" spans="1:15" x14ac:dyDescent="0.2">
      <c r="A3" t="s">
        <v>39</v>
      </c>
    </row>
    <row r="4" spans="1:15" x14ac:dyDescent="0.2">
      <c r="A4" t="s">
        <v>7</v>
      </c>
    </row>
    <row r="5" spans="1:15" ht="39" x14ac:dyDescent="0.25">
      <c r="A5" s="4" t="s">
        <v>4</v>
      </c>
      <c r="B5" s="4" t="s">
        <v>3</v>
      </c>
      <c r="C5" s="4" t="s">
        <v>8</v>
      </c>
      <c r="D5" s="4" t="s">
        <v>11</v>
      </c>
      <c r="E5" s="4" t="s">
        <v>9</v>
      </c>
      <c r="F5" s="4" t="s">
        <v>12</v>
      </c>
      <c r="G5" s="4" t="s">
        <v>41</v>
      </c>
      <c r="H5" s="4" t="s">
        <v>6</v>
      </c>
      <c r="I5" s="4" t="s">
        <v>10</v>
      </c>
      <c r="J5" s="4" t="s">
        <v>5</v>
      </c>
      <c r="K5" s="5"/>
      <c r="L5" s="5"/>
      <c r="M5" s="5"/>
      <c r="N5" s="5"/>
      <c r="O5" s="5"/>
    </row>
    <row r="6" spans="1:15" x14ac:dyDescent="0.2">
      <c r="A6" s="1">
        <v>1</v>
      </c>
      <c r="B6" s="1">
        <v>-1217927933.3704605</v>
      </c>
      <c r="C6" s="43">
        <v>46000400</v>
      </c>
      <c r="D6" s="1">
        <v>974.24734274816683</v>
      </c>
      <c r="E6" s="1">
        <v>44815377766.415672</v>
      </c>
      <c r="F6" s="1">
        <v>389698.93709926674</v>
      </c>
      <c r="G6" s="2">
        <v>-10301.062900733261</v>
      </c>
      <c r="H6" s="44">
        <v>1000000</v>
      </c>
      <c r="I6" s="1">
        <v>400</v>
      </c>
      <c r="J6" s="45">
        <f t="shared" ref="J6:J13" si="0">E7-E6</f>
        <v>638095453.46296692</v>
      </c>
    </row>
    <row r="7" spans="1:15" x14ac:dyDescent="0.2">
      <c r="A7" s="1">
        <v>2</v>
      </c>
      <c r="B7" s="1">
        <v>-12198348.251617432</v>
      </c>
      <c r="C7" s="43">
        <v>45470400</v>
      </c>
      <c r="D7" s="1">
        <v>999.63653441562872</v>
      </c>
      <c r="E7" s="1">
        <v>45453473219.878639</v>
      </c>
      <c r="F7" s="1">
        <v>399854.61376625148</v>
      </c>
      <c r="G7" s="2">
        <v>-145.38623374851886</v>
      </c>
      <c r="H7" s="44">
        <v>10000</v>
      </c>
      <c r="I7" s="1">
        <v>400</v>
      </c>
      <c r="J7" s="45">
        <f t="shared" si="0"/>
        <v>9026204.6865844727</v>
      </c>
    </row>
    <row r="8" spans="1:15" x14ac:dyDescent="0.2">
      <c r="A8" s="1">
        <v>3</v>
      </c>
      <c r="B8" s="1">
        <v>-121998.0749206543</v>
      </c>
      <c r="C8" s="43">
        <v>45463000</v>
      </c>
      <c r="D8" s="1">
        <v>999.99778773244873</v>
      </c>
      <c r="E8" s="1">
        <v>45462499424.565224</v>
      </c>
      <c r="F8" s="1">
        <v>399999.11509297951</v>
      </c>
      <c r="G8" s="2">
        <v>-0.88490702048875391</v>
      </c>
      <c r="H8" s="44">
        <v>100</v>
      </c>
      <c r="I8" s="1">
        <v>400</v>
      </c>
      <c r="J8" s="45">
        <f t="shared" si="0"/>
        <v>54899.060073852539</v>
      </c>
    </row>
    <row r="9" spans="1:15" x14ac:dyDescent="0.2">
      <c r="A9" s="1">
        <v>4</v>
      </c>
      <c r="B9" s="1">
        <v>-1219.9803009033203</v>
      </c>
      <c r="C9" s="43">
        <v>45462955</v>
      </c>
      <c r="D9" s="1">
        <v>999.99998512237812</v>
      </c>
      <c r="E9" s="1">
        <v>45462554323.625298</v>
      </c>
      <c r="F9" s="1">
        <v>399999.99404895125</v>
      </c>
      <c r="G9" s="2">
        <v>-5.9510487481020391E-3</v>
      </c>
      <c r="H9" s="44">
        <v>1</v>
      </c>
      <c r="I9" s="1">
        <v>400</v>
      </c>
      <c r="J9" s="45">
        <f t="shared" si="0"/>
        <v>365.99423217773438</v>
      </c>
    </row>
    <row r="10" spans="1:15" x14ac:dyDescent="0.2">
      <c r="A10" s="1">
        <v>5</v>
      </c>
      <c r="B10" s="1">
        <v>-12.199661254882813</v>
      </c>
      <c r="C10" s="43">
        <v>45462954.699999854</v>
      </c>
      <c r="D10" s="1">
        <v>999.99999977167317</v>
      </c>
      <c r="E10" s="1">
        <v>45462554689.61953</v>
      </c>
      <c r="F10" s="1">
        <v>399999.99990866927</v>
      </c>
      <c r="G10" s="2">
        <v>-9.1330730356276035E-5</v>
      </c>
      <c r="H10" s="46">
        <v>0.01</v>
      </c>
      <c r="I10" s="1">
        <v>400</v>
      </c>
      <c r="J10" s="45">
        <f t="shared" si="0"/>
        <v>5.6114273071289063</v>
      </c>
    </row>
    <row r="11" spans="1:15" x14ac:dyDescent="0.2">
      <c r="A11" s="1">
        <v>6</v>
      </c>
      <c r="B11" s="1">
        <v>-0.1222381591796875</v>
      </c>
      <c r="C11" s="43">
        <v>45462954.695399947</v>
      </c>
      <c r="D11" s="1">
        <v>999.9999999962829</v>
      </c>
      <c r="E11" s="1">
        <v>45462554695.230957</v>
      </c>
      <c r="F11" s="1">
        <v>399999.99999851314</v>
      </c>
      <c r="G11" s="2">
        <v>-1.4868564903736115E-6</v>
      </c>
      <c r="H11" s="46">
        <v>1E-4</v>
      </c>
      <c r="I11" s="1">
        <v>400</v>
      </c>
      <c r="J11" s="45">
        <f t="shared" si="0"/>
        <v>9.29107666015625E-2</v>
      </c>
    </row>
    <row r="12" spans="1:15" x14ac:dyDescent="0.2">
      <c r="A12" s="1">
        <v>7</v>
      </c>
      <c r="B12" s="1">
        <v>-1.251220703125E-3</v>
      </c>
      <c r="C12" s="43">
        <v>45462954.695323907</v>
      </c>
      <c r="D12" s="1">
        <v>999.99999999999909</v>
      </c>
      <c r="E12" s="1">
        <v>45462554695.323868</v>
      </c>
      <c r="F12" s="1">
        <v>400000</v>
      </c>
      <c r="G12" s="2">
        <v>0</v>
      </c>
      <c r="H12" s="46">
        <v>9.9999999999999995E-7</v>
      </c>
      <c r="I12" s="1">
        <v>400</v>
      </c>
      <c r="J12" s="45">
        <f t="shared" si="0"/>
        <v>-7.62939453125E-5</v>
      </c>
    </row>
    <row r="13" spans="1:15" x14ac:dyDescent="0.2">
      <c r="A13" s="1">
        <v>8</v>
      </c>
      <c r="B13" s="1">
        <v>-3.0517578125E-4</v>
      </c>
      <c r="C13" s="43">
        <v>45462954.695323832</v>
      </c>
      <c r="D13" s="1">
        <v>999.99999999999909</v>
      </c>
      <c r="E13" s="1">
        <v>45462554695.323792</v>
      </c>
      <c r="F13" s="1">
        <v>400000</v>
      </c>
      <c r="G13" s="2">
        <v>0</v>
      </c>
      <c r="H13" s="46">
        <v>1E-8</v>
      </c>
      <c r="I13" s="1">
        <v>400</v>
      </c>
      <c r="J13" s="45">
        <f t="shared" si="0"/>
        <v>-45462554695.323792</v>
      </c>
    </row>
    <row r="17" spans="1:16" x14ac:dyDescent="0.2">
      <c r="A17" s="7"/>
      <c r="B17" s="7"/>
      <c r="C17" s="7"/>
      <c r="D17" s="7"/>
      <c r="E17" s="7"/>
      <c r="F17" s="7"/>
      <c r="G17" s="7"/>
      <c r="H17" s="7"/>
      <c r="I17" s="7"/>
    </row>
    <row r="18" spans="1:16" ht="25.5" x14ac:dyDescent="0.35">
      <c r="A18" s="7"/>
      <c r="B18" s="7"/>
      <c r="C18" s="9"/>
      <c r="D18" s="7"/>
      <c r="E18" s="7"/>
      <c r="F18" s="7"/>
      <c r="G18" s="7"/>
      <c r="H18" s="7"/>
      <c r="I18" s="7"/>
      <c r="J18" s="7"/>
      <c r="K18" s="7"/>
      <c r="L18" s="7"/>
      <c r="M18" s="7"/>
      <c r="N18" s="7"/>
      <c r="O18" s="7"/>
      <c r="P18" s="7"/>
    </row>
    <row r="19" spans="1:16" x14ac:dyDescent="0.2">
      <c r="A19" s="11"/>
      <c r="B19" s="11"/>
      <c r="C19" s="11"/>
      <c r="D19" s="11"/>
      <c r="E19" s="12"/>
      <c r="F19" s="11"/>
      <c r="G19" s="11"/>
      <c r="H19" s="12"/>
      <c r="I19" s="12"/>
      <c r="J19" s="12"/>
      <c r="K19" s="11"/>
      <c r="L19" s="13"/>
      <c r="M19" s="13"/>
      <c r="N19" s="7"/>
      <c r="O19" s="7"/>
      <c r="P19" s="7"/>
    </row>
    <row r="20" spans="1:16" x14ac:dyDescent="0.2">
      <c r="A20" s="14"/>
      <c r="B20" s="11"/>
      <c r="C20" s="14"/>
      <c r="D20" s="14"/>
      <c r="E20" s="14"/>
      <c r="F20" s="14"/>
      <c r="G20" s="14"/>
      <c r="H20" s="14"/>
      <c r="I20" s="14"/>
      <c r="J20" s="14"/>
      <c r="K20" s="14"/>
      <c r="L20" s="7"/>
      <c r="M20" s="7"/>
      <c r="N20" s="7"/>
      <c r="O20" s="7"/>
      <c r="P20" s="7"/>
    </row>
    <row r="21" spans="1:16" x14ac:dyDescent="0.2">
      <c r="A21" s="7"/>
      <c r="B21" s="7"/>
      <c r="C21" s="7"/>
      <c r="D21" s="7"/>
      <c r="E21" s="7"/>
      <c r="F21" s="7"/>
      <c r="G21" s="7"/>
      <c r="H21" s="7"/>
      <c r="I21" s="7"/>
      <c r="J21" s="7"/>
      <c r="K21" s="7"/>
      <c r="L21" s="7"/>
      <c r="M21" s="7"/>
      <c r="N21" s="7"/>
      <c r="O21" s="7"/>
      <c r="P21" s="7"/>
    </row>
    <row r="22" spans="1:16" x14ac:dyDescent="0.2">
      <c r="A22" s="7"/>
      <c r="B22" s="7"/>
      <c r="C22" s="7"/>
      <c r="D22" s="7"/>
      <c r="E22" s="7"/>
      <c r="F22" s="7"/>
      <c r="G22" s="7"/>
      <c r="H22" s="7"/>
      <c r="I22" s="7"/>
      <c r="J22" s="7"/>
      <c r="K22" s="7"/>
      <c r="L22" s="7"/>
      <c r="M22" s="7"/>
      <c r="N22" s="7"/>
      <c r="O22" s="7"/>
      <c r="P22" s="7"/>
    </row>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B118"/>
  <sheetViews>
    <sheetView zoomScale="85" zoomScaleNormal="85" workbookViewId="0">
      <selection activeCell="H7" sqref="H7"/>
    </sheetView>
  </sheetViews>
  <sheetFormatPr defaultRowHeight="12.75" x14ac:dyDescent="0.2"/>
  <cols>
    <col min="1" max="1" width="5.85546875" style="17" customWidth="1"/>
    <col min="2" max="3" width="8.5703125" style="17" customWidth="1"/>
    <col min="4" max="4" width="7" style="17" customWidth="1"/>
    <col min="5" max="5" width="6.7109375" style="17" customWidth="1"/>
    <col min="6" max="6" width="8.5703125" style="17" customWidth="1"/>
    <col min="7" max="7" width="11.85546875" style="17" customWidth="1"/>
    <col min="8" max="8" width="12.7109375" style="17" customWidth="1"/>
    <col min="9" max="9" width="25" style="17" customWidth="1"/>
    <col min="10" max="11" width="9.5703125" style="17" customWidth="1"/>
    <col min="12" max="12" width="9.140625" style="17"/>
    <col min="13" max="13" width="9.28515625" style="17" hidden="1" customWidth="1"/>
    <col min="14" max="14" width="9.140625" style="17" hidden="1" customWidth="1"/>
    <col min="15" max="15" width="20.140625" style="17" customWidth="1"/>
    <col min="16" max="16" width="9.140625" style="17"/>
    <col min="17" max="17" width="28" style="17" customWidth="1"/>
    <col min="18" max="16384" width="9.140625" style="17"/>
  </cols>
  <sheetData>
    <row r="1" spans="1:28" ht="18.75" x14ac:dyDescent="0.3">
      <c r="A1" s="29" t="s">
        <v>40</v>
      </c>
      <c r="B1" s="15"/>
      <c r="C1" s="15"/>
      <c r="D1" s="15"/>
      <c r="E1" s="15"/>
      <c r="F1" s="15"/>
      <c r="G1" s="15"/>
      <c r="H1" s="15"/>
      <c r="I1" s="15"/>
      <c r="J1" s="15"/>
      <c r="K1" s="15"/>
      <c r="L1" s="8"/>
      <c r="M1" s="8"/>
      <c r="N1" s="8"/>
    </row>
    <row r="2" spans="1:28" x14ac:dyDescent="0.2">
      <c r="A2" s="1" t="s">
        <v>38</v>
      </c>
      <c r="B2" s="15"/>
      <c r="C2" s="15"/>
      <c r="D2" s="15"/>
      <c r="E2" s="15"/>
      <c r="F2" s="15"/>
      <c r="G2" s="15"/>
      <c r="H2" s="15"/>
      <c r="I2" s="15"/>
      <c r="J2" s="15"/>
      <c r="K2" s="15"/>
      <c r="L2" s="8"/>
      <c r="M2" s="8"/>
      <c r="N2" s="8"/>
    </row>
    <row r="3" spans="1:28" x14ac:dyDescent="0.2">
      <c r="A3" s="1" t="s">
        <v>39</v>
      </c>
      <c r="B3" s="15"/>
      <c r="C3" s="15"/>
      <c r="D3" s="15"/>
      <c r="E3" s="15"/>
      <c r="F3" s="15"/>
      <c r="G3" s="15"/>
      <c r="H3" s="15"/>
      <c r="I3" s="15"/>
      <c r="J3" s="15"/>
      <c r="K3" s="15"/>
      <c r="L3" s="8"/>
      <c r="M3" s="8"/>
      <c r="N3" s="8"/>
    </row>
    <row r="4" spans="1:28" ht="25.5" customHeight="1" x14ac:dyDescent="0.2"/>
    <row r="5" spans="1:28" ht="43.5" customHeight="1" thickBot="1" x14ac:dyDescent="0.25">
      <c r="G5" s="15" t="s">
        <v>16</v>
      </c>
      <c r="H5" s="15"/>
      <c r="I5" s="16" t="s">
        <v>19</v>
      </c>
      <c r="J5" s="31" t="s">
        <v>26</v>
      </c>
      <c r="K5" s="31" t="s">
        <v>27</v>
      </c>
      <c r="L5" s="32" t="s">
        <v>18</v>
      </c>
    </row>
    <row r="6" spans="1:28" ht="16.5" customHeight="1" thickBot="1" x14ac:dyDescent="0.25">
      <c r="A6" s="30" t="s">
        <v>20</v>
      </c>
      <c r="B6" s="18"/>
      <c r="C6" s="18"/>
      <c r="D6" s="18"/>
      <c r="E6" s="18"/>
      <c r="F6" s="18"/>
      <c r="G6" s="18" t="s">
        <v>17</v>
      </c>
      <c r="H6" s="18">
        <v>2</v>
      </c>
      <c r="I6" s="25">
        <f>INDEX(O7:O21,P6)</f>
        <v>1.0000000000000001E-15</v>
      </c>
      <c r="J6" s="35">
        <v>0.6180339887498949</v>
      </c>
      <c r="K6" s="36">
        <v>0.38196601125010521</v>
      </c>
      <c r="L6" s="52">
        <f>sheet1!B6/(1+sheet1!C6)^(2*sheet1!E6)</f>
        <v>6.0778247591187063E+34</v>
      </c>
      <c r="M6" s="26"/>
      <c r="O6" s="66" t="s">
        <v>14</v>
      </c>
      <c r="P6" s="17">
        <v>15</v>
      </c>
    </row>
    <row r="7" spans="1:28" ht="16.5" customHeight="1" x14ac:dyDescent="0.2">
      <c r="A7" s="153" t="s">
        <v>28</v>
      </c>
      <c r="B7" s="154"/>
      <c r="C7" s="154"/>
      <c r="D7" s="154"/>
      <c r="E7" s="154"/>
      <c r="F7" s="154"/>
      <c r="G7" s="155"/>
      <c r="H7" s="24">
        <f>sheet1!J6</f>
        <v>1080326.2091186845</v>
      </c>
      <c r="I7" s="123">
        <f>H7+sheet5!I28</f>
        <v>1.0000000000108032E+17</v>
      </c>
      <c r="J7" s="27"/>
      <c r="K7" s="27"/>
      <c r="L7" s="19"/>
      <c r="M7" s="19"/>
      <c r="N7" s="48"/>
      <c r="O7" s="67">
        <v>0.1</v>
      </c>
    </row>
    <row r="8" spans="1:28" x14ac:dyDescent="0.2">
      <c r="A8" s="156" t="s">
        <v>29</v>
      </c>
      <c r="B8" s="157"/>
      <c r="C8" s="157"/>
      <c r="D8" s="157"/>
      <c r="E8" s="157"/>
      <c r="F8" s="157"/>
      <c r="G8" s="158"/>
      <c r="H8" s="37">
        <f ca="1">IF(H6=1,0,H8+1)</f>
        <v>9753</v>
      </c>
      <c r="I8" s="20"/>
      <c r="J8" s="20"/>
      <c r="K8" s="20"/>
      <c r="L8" s="20"/>
      <c r="M8" s="21"/>
      <c r="N8" s="49"/>
      <c r="O8" s="68">
        <v>0.01</v>
      </c>
    </row>
    <row r="9" spans="1:28" x14ac:dyDescent="0.2">
      <c r="A9" s="159" t="s">
        <v>37</v>
      </c>
      <c r="B9" s="160"/>
      <c r="C9" s="160"/>
      <c r="D9" s="160"/>
      <c r="E9" s="160"/>
      <c r="F9" s="160"/>
      <c r="G9" s="161"/>
      <c r="H9" s="33" t="s">
        <v>21</v>
      </c>
      <c r="I9" s="34" t="s">
        <v>22</v>
      </c>
      <c r="J9" s="34" t="s">
        <v>23</v>
      </c>
      <c r="K9" s="34" t="s">
        <v>24</v>
      </c>
      <c r="L9" s="34" t="s">
        <v>25</v>
      </c>
      <c r="M9" s="34"/>
      <c r="N9" s="50"/>
      <c r="O9" s="68">
        <v>1.0000000000000002E-3</v>
      </c>
    </row>
    <row r="10" spans="1:28" ht="14.25" x14ac:dyDescent="0.2">
      <c r="A10" s="156" t="s">
        <v>30</v>
      </c>
      <c r="B10" s="157"/>
      <c r="C10" s="157"/>
      <c r="D10" s="157"/>
      <c r="E10" s="157"/>
      <c r="F10" s="157"/>
      <c r="G10" s="158"/>
      <c r="H10" s="37">
        <f ca="1">IF($H$8=0,H7,H12)</f>
        <v>1080326.2091186845</v>
      </c>
      <c r="I10" s="38">
        <f ca="1">IF($H$8=0,I7,I12)</f>
        <v>1080326.2091186845</v>
      </c>
      <c r="J10" s="38">
        <f ca="1">IF($H$8=0,$H$10+$K$6*($I$10-$H$10),J12)</f>
        <v>1080326.2091186845</v>
      </c>
      <c r="K10" s="38">
        <f ca="1">IF($H$8=0,$H$10+J6*($I$10-$H$10),K12)</f>
        <v>1080326.2091186845</v>
      </c>
      <c r="L10" s="39">
        <f ca="1">I10-H10</f>
        <v>0</v>
      </c>
      <c r="M10" s="21"/>
      <c r="N10" s="49"/>
      <c r="O10" s="68">
        <v>1.0000000000000003E-4</v>
      </c>
      <c r="P10" s="10"/>
      <c r="Q10" s="10"/>
      <c r="R10" s="10"/>
      <c r="S10" s="10"/>
      <c r="T10" s="10"/>
      <c r="U10" s="10"/>
      <c r="V10" s="10"/>
      <c r="W10" s="10"/>
      <c r="X10" s="10"/>
      <c r="Y10" s="10"/>
      <c r="Z10" s="10"/>
      <c r="AA10" s="10"/>
      <c r="AB10" s="10"/>
    </row>
    <row r="11" spans="1:28" x14ac:dyDescent="0.2">
      <c r="A11" s="156" t="s">
        <v>31</v>
      </c>
      <c r="B11" s="157"/>
      <c r="C11" s="157"/>
      <c r="D11" s="157"/>
      <c r="E11" s="157"/>
      <c r="F11" s="157"/>
      <c r="G11" s="158"/>
      <c r="H11" s="47">
        <f ca="1">($L$6*sheet1!$D$6/(H10^(2*sheet1!$E$6))-sheet1!$G$6)^2</f>
        <v>1.9058241313221758E-21</v>
      </c>
      <c r="I11" s="47">
        <f ca="1">($L$6*sheet1!$D$6/(I10^(2*sheet1!$E$6))-sheet1!$G$6)^2</f>
        <v>1.9058241313221758E-21</v>
      </c>
      <c r="J11" s="47">
        <f ca="1">($L$6*sheet1!$D$6/(J10^(2*sheet1!$E$6))-sheet1!$G$6)^2</f>
        <v>1.9058241313221758E-21</v>
      </c>
      <c r="K11" s="47">
        <f ca="1">($L$6*sheet1!$D$6/(K10^(2*sheet1!$E$6))-sheet1!$G$6)^2</f>
        <v>1.9058241313221758E-21</v>
      </c>
      <c r="L11" s="21"/>
      <c r="M11" s="20"/>
      <c r="N11" s="49"/>
      <c r="O11" s="68">
        <v>1.0000000000000006E-5</v>
      </c>
      <c r="P11" s="10"/>
      <c r="Q11" s="10"/>
      <c r="R11" s="10"/>
      <c r="S11" s="10"/>
      <c r="T11" s="10"/>
      <c r="U11" s="10"/>
      <c r="V11" s="10"/>
      <c r="W11" s="10"/>
      <c r="X11" s="10"/>
      <c r="Y11" s="10"/>
      <c r="Z11" s="10"/>
      <c r="AA11" s="10"/>
      <c r="AB11" s="10"/>
    </row>
    <row r="12" spans="1:28" ht="14.25" x14ac:dyDescent="0.2">
      <c r="A12" s="156" t="s">
        <v>32</v>
      </c>
      <c r="B12" s="157"/>
      <c r="C12" s="157"/>
      <c r="D12" s="157"/>
      <c r="E12" s="157"/>
      <c r="F12" s="157"/>
      <c r="G12" s="158"/>
      <c r="H12" s="37">
        <f ca="1">IF($J$11&lt;=$K$11,H10,J10)</f>
        <v>1080326.2091186845</v>
      </c>
      <c r="I12" s="37">
        <f ca="1">IF($J$11&lt;=$K$11,K10,I10)</f>
        <v>1080326.2091186845</v>
      </c>
      <c r="J12" s="37">
        <f ca="1">IF($J$11&lt;=$K$11,H12+K6*(I12-H12),K10)</f>
        <v>1080326.2091186845</v>
      </c>
      <c r="K12" s="37">
        <f ca="1">IF($J$11&lt;=$K$11,J10,H12+J6*(I12-H12))</f>
        <v>1080326.2091186845</v>
      </c>
      <c r="L12" s="39">
        <f ca="1">I12-H12</f>
        <v>0</v>
      </c>
      <c r="M12" s="21"/>
      <c r="N12" s="49"/>
      <c r="O12" s="68">
        <v>1.0000000000000006E-6</v>
      </c>
      <c r="P12" s="10"/>
      <c r="Q12" s="10"/>
      <c r="R12" s="10"/>
      <c r="S12" s="10"/>
      <c r="T12" s="10"/>
      <c r="U12" s="10"/>
      <c r="V12" s="10"/>
      <c r="W12" s="10"/>
      <c r="X12" s="10"/>
      <c r="Y12" s="10"/>
      <c r="Z12" s="10"/>
      <c r="AA12" s="10"/>
      <c r="AB12" s="10"/>
    </row>
    <row r="13" spans="1:28" ht="13.5" thickBot="1" x14ac:dyDescent="0.25">
      <c r="A13" s="156" t="s">
        <v>33</v>
      </c>
      <c r="B13" s="157"/>
      <c r="C13" s="157"/>
      <c r="D13" s="157"/>
      <c r="E13" s="157"/>
      <c r="F13" s="157"/>
      <c r="G13" s="158"/>
      <c r="H13" s="40" t="str">
        <f ca="1">IF(H6=1,"Программа в исходном состоянии",IF(ABS((I12-H12)/H12)&lt;I6,"Решение найдено с желаемой точностью!","Продолжайте итерации, щелкая по кнопке &lt;F9&gt;"))</f>
        <v>Решение найдено с желаемой точностью!</v>
      </c>
      <c r="I13" s="20"/>
      <c r="J13" s="20"/>
      <c r="K13" s="20"/>
      <c r="L13" s="21"/>
      <c r="M13" s="21"/>
      <c r="N13" s="49"/>
      <c r="O13" s="68">
        <v>1.0000000000000006E-7</v>
      </c>
      <c r="P13" s="10"/>
      <c r="Q13" s="10"/>
      <c r="R13" s="10"/>
      <c r="S13" s="10"/>
      <c r="T13" s="10"/>
      <c r="U13" s="10"/>
      <c r="V13" s="10"/>
      <c r="W13" s="10"/>
      <c r="X13" s="10"/>
      <c r="Y13" s="10"/>
      <c r="Z13" s="10"/>
      <c r="AA13" s="10"/>
      <c r="AB13" s="10"/>
    </row>
    <row r="14" spans="1:28" x14ac:dyDescent="0.2">
      <c r="A14" s="156" t="s">
        <v>15</v>
      </c>
      <c r="B14" s="157"/>
      <c r="C14" s="157"/>
      <c r="D14" s="157"/>
      <c r="E14" s="157"/>
      <c r="F14" s="157"/>
      <c r="G14" s="158"/>
      <c r="H14" s="53">
        <f ca="1">IF($H$8=0,$H$10,IF(ABS((I12-H12)/H12)&lt;I6,H14,IF(J11&lt;=K11,J10,K10)))</f>
        <v>1080326.2091186852</v>
      </c>
      <c r="I14" s="54">
        <f>sheet1!J6</f>
        <v>1080326.2091186845</v>
      </c>
      <c r="J14" s="8"/>
      <c r="K14" s="8"/>
      <c r="L14" s="21"/>
      <c r="M14" s="21"/>
      <c r="N14" s="49"/>
      <c r="O14" s="68">
        <v>1.0000000000000008E-8</v>
      </c>
      <c r="P14" s="10"/>
      <c r="Q14" s="10"/>
      <c r="R14" s="10"/>
      <c r="S14" s="10"/>
      <c r="T14" s="10"/>
      <c r="U14" s="10"/>
      <c r="V14" s="10"/>
      <c r="W14" s="10"/>
      <c r="X14" s="10"/>
      <c r="Y14" s="10"/>
      <c r="Z14" s="10"/>
      <c r="AA14" s="10"/>
      <c r="AB14" s="10"/>
    </row>
    <row r="15" spans="1:28" x14ac:dyDescent="0.2">
      <c r="A15" s="156" t="s">
        <v>34</v>
      </c>
      <c r="B15" s="157"/>
      <c r="C15" s="157"/>
      <c r="D15" s="157"/>
      <c r="E15" s="157"/>
      <c r="F15" s="157"/>
      <c r="G15" s="158"/>
      <c r="H15" s="47">
        <f ca="1">sheet1!B4/(H14+H14*sheet1!C4)^(2*sheet1!E4)</f>
        <v>4031884.6115568876</v>
      </c>
      <c r="I15" s="28"/>
      <c r="J15" s="8"/>
      <c r="K15" s="8"/>
      <c r="L15" s="21"/>
      <c r="M15" s="21"/>
      <c r="N15" s="49"/>
      <c r="O15" s="68">
        <v>1.0000000000000009E-9</v>
      </c>
      <c r="P15" s="10"/>
      <c r="Q15" s="10"/>
      <c r="R15" s="10"/>
      <c r="S15" s="10"/>
      <c r="T15" s="10"/>
      <c r="U15" s="10"/>
      <c r="V15" s="10"/>
      <c r="W15" s="10"/>
      <c r="X15" s="10"/>
      <c r="Y15" s="10"/>
      <c r="Z15" s="10"/>
      <c r="AA15" s="10"/>
      <c r="AB15" s="10"/>
    </row>
    <row r="16" spans="1:28" x14ac:dyDescent="0.2">
      <c r="A16" s="156" t="s">
        <v>9</v>
      </c>
      <c r="B16" s="157"/>
      <c r="C16" s="157"/>
      <c r="D16" s="157"/>
      <c r="E16" s="157"/>
      <c r="F16" s="157"/>
      <c r="G16" s="158"/>
      <c r="H16" s="47">
        <f ca="1">L6*(H14-sheet1!D4)/(H14+sheet1!C4*H14)^(2*sheet1!E4)</f>
        <v>2.6463686915423649E+27</v>
      </c>
      <c r="I16" s="22"/>
      <c r="J16" s="20"/>
      <c r="K16" s="20"/>
      <c r="L16" s="21"/>
      <c r="M16" s="21"/>
      <c r="N16" s="49"/>
      <c r="O16" s="68">
        <v>1.0000000000000009E-10</v>
      </c>
      <c r="P16" s="10"/>
      <c r="Q16" s="10"/>
      <c r="R16" s="10"/>
      <c r="S16" s="10"/>
      <c r="T16" s="10"/>
      <c r="U16" s="10"/>
      <c r="V16" s="10"/>
      <c r="W16" s="10"/>
      <c r="X16" s="10"/>
      <c r="Y16" s="10"/>
      <c r="Z16" s="10"/>
      <c r="AA16" s="10"/>
      <c r="AB16" s="10"/>
    </row>
    <row r="17" spans="1:28" x14ac:dyDescent="0.2">
      <c r="A17" s="156" t="s">
        <v>12</v>
      </c>
      <c r="B17" s="157"/>
      <c r="C17" s="157"/>
      <c r="D17" s="157"/>
      <c r="E17" s="157"/>
      <c r="F17" s="157"/>
      <c r="G17" s="158"/>
      <c r="H17" s="47">
        <f ca="1">H15*sheet1!D4</f>
        <v>1612753844.6227551</v>
      </c>
      <c r="I17" s="22"/>
      <c r="J17" s="20"/>
      <c r="K17" s="20"/>
      <c r="L17" s="21"/>
      <c r="M17" s="21"/>
      <c r="N17" s="49"/>
      <c r="O17" s="68">
        <v>1.0000000000000011E-11</v>
      </c>
      <c r="P17" s="10"/>
      <c r="Q17" s="10"/>
      <c r="R17" s="10"/>
      <c r="S17" s="10"/>
      <c r="T17" s="10"/>
      <c r="U17" s="10"/>
      <c r="V17" s="10"/>
      <c r="W17" s="10"/>
      <c r="X17" s="10"/>
      <c r="Y17" s="10"/>
      <c r="Z17" s="10"/>
      <c r="AA17" s="10"/>
      <c r="AB17" s="10"/>
    </row>
    <row r="18" spans="1:28" x14ac:dyDescent="0.2">
      <c r="A18" s="156" t="s">
        <v>42</v>
      </c>
      <c r="B18" s="157"/>
      <c r="C18" s="157"/>
      <c r="D18" s="157"/>
      <c r="E18" s="157"/>
      <c r="F18" s="157"/>
      <c r="G18" s="158"/>
      <c r="H18" s="47">
        <f ca="1">H17-sheet1!G4</f>
        <v>1612353844.6227551</v>
      </c>
      <c r="I18" s="22"/>
      <c r="J18" s="20"/>
      <c r="K18" s="20"/>
      <c r="L18" s="21"/>
      <c r="M18" s="21"/>
      <c r="N18" s="49"/>
      <c r="O18" s="68">
        <v>1.0000000000000012E-12</v>
      </c>
      <c r="P18" s="10"/>
      <c r="Q18" s="10"/>
      <c r="R18" s="10"/>
      <c r="S18" s="10"/>
      <c r="T18" s="10"/>
      <c r="U18" s="10"/>
      <c r="V18" s="10"/>
      <c r="W18" s="10"/>
      <c r="X18" s="10"/>
      <c r="Y18" s="10"/>
      <c r="Z18" s="10"/>
      <c r="AA18" s="10"/>
      <c r="AB18" s="10"/>
    </row>
    <row r="19" spans="1:28" x14ac:dyDescent="0.2">
      <c r="A19" s="156" t="s">
        <v>35</v>
      </c>
      <c r="B19" s="157"/>
      <c r="C19" s="157"/>
      <c r="D19" s="157"/>
      <c r="E19" s="157"/>
      <c r="F19" s="157"/>
      <c r="G19" s="158"/>
      <c r="H19" s="37">
        <f ca="1">IF($H$8=0,0,IF(ABS((I12-H12)/H12)&lt;I6,H19,H8))</f>
        <v>123</v>
      </c>
      <c r="I19" s="20"/>
      <c r="J19" s="20"/>
      <c r="K19" s="20"/>
      <c r="L19" s="21"/>
      <c r="M19" s="21"/>
      <c r="N19" s="49"/>
      <c r="O19" s="68">
        <v>1.0000000000000014E-13</v>
      </c>
      <c r="P19" s="10"/>
      <c r="Q19" s="10"/>
      <c r="R19" s="10"/>
      <c r="S19" s="10"/>
      <c r="T19" s="10"/>
      <c r="U19" s="10"/>
      <c r="V19" s="10"/>
      <c r="W19" s="10"/>
      <c r="X19" s="10"/>
      <c r="Y19" s="10"/>
      <c r="Z19" s="10"/>
      <c r="AA19" s="10"/>
      <c r="AB19" s="10"/>
    </row>
    <row r="20" spans="1:28" ht="15" thickBot="1" x14ac:dyDescent="0.25">
      <c r="A20" s="162" t="s">
        <v>36</v>
      </c>
      <c r="B20" s="163"/>
      <c r="C20" s="163"/>
      <c r="D20" s="163"/>
      <c r="E20" s="163"/>
      <c r="F20" s="163"/>
      <c r="G20" s="164"/>
      <c r="H20" s="41">
        <f ca="1">IF(ABS((I12-H12)/H12)&lt;I6,H20,I12-H12)</f>
        <v>1.1641532182693481E-9</v>
      </c>
      <c r="I20" s="23"/>
      <c r="J20" s="23"/>
      <c r="K20" s="23"/>
      <c r="L20" s="23"/>
      <c r="M20" s="23"/>
      <c r="N20" s="65"/>
      <c r="O20" s="68">
        <v>1E-14</v>
      </c>
      <c r="P20" s="10"/>
      <c r="Q20" s="10"/>
      <c r="R20" s="10"/>
      <c r="S20" s="10"/>
      <c r="T20" s="10"/>
      <c r="U20" s="10"/>
      <c r="V20" s="10"/>
      <c r="W20" s="10"/>
      <c r="X20" s="10"/>
      <c r="Y20" s="10"/>
      <c r="Z20" s="10"/>
      <c r="AA20" s="10"/>
      <c r="AB20" s="10"/>
    </row>
    <row r="21" spans="1:28" ht="13.5" thickBot="1" x14ac:dyDescent="0.25">
      <c r="A21" s="42" t="s">
        <v>44</v>
      </c>
      <c r="O21" s="69">
        <v>1.0000000000000001E-15</v>
      </c>
      <c r="P21" s="10"/>
      <c r="Q21" s="10"/>
      <c r="R21" s="10"/>
      <c r="S21" s="10"/>
      <c r="T21" s="10"/>
      <c r="U21" s="10"/>
      <c r="V21" s="10"/>
      <c r="W21" s="10"/>
      <c r="X21" s="10"/>
      <c r="Y21" s="10"/>
      <c r="Z21" s="10"/>
      <c r="AA21" s="10"/>
      <c r="AB21" s="10"/>
    </row>
    <row r="22" spans="1:28" x14ac:dyDescent="0.2">
      <c r="H22"/>
      <c r="I22" s="92"/>
      <c r="P22" s="10"/>
      <c r="Q22" s="10"/>
      <c r="R22" s="10"/>
      <c r="S22" s="10"/>
      <c r="T22" s="10"/>
      <c r="U22" s="10"/>
      <c r="V22" s="10"/>
      <c r="W22" s="10"/>
      <c r="X22" s="10"/>
      <c r="Y22" s="10"/>
      <c r="Z22" s="10"/>
      <c r="AA22" s="10"/>
      <c r="AB22" s="10"/>
    </row>
    <row r="23" spans="1:28" x14ac:dyDescent="0.2">
      <c r="P23" s="10"/>
      <c r="Q23" s="10"/>
      <c r="R23" s="10"/>
      <c r="S23" s="10"/>
      <c r="T23" s="10"/>
      <c r="U23" s="10"/>
      <c r="V23" s="10"/>
      <c r="W23" s="10"/>
    </row>
    <row r="24" spans="1:28" x14ac:dyDescent="0.2">
      <c r="P24" s="10"/>
      <c r="Q24" s="10"/>
      <c r="R24" s="10"/>
      <c r="S24" s="10"/>
      <c r="T24" s="10"/>
      <c r="U24" s="10"/>
      <c r="V24" s="10"/>
      <c r="W24" s="10"/>
    </row>
    <row r="25" spans="1:28" x14ac:dyDescent="0.2">
      <c r="J25" s="10"/>
      <c r="K25" s="10"/>
      <c r="L25" s="10"/>
      <c r="M25" s="10"/>
      <c r="N25" s="10"/>
      <c r="O25" s="10"/>
      <c r="P25" s="10"/>
      <c r="Q25" s="10"/>
    </row>
    <row r="26" spans="1:28" x14ac:dyDescent="0.2">
      <c r="J26" s="10"/>
      <c r="K26" s="10"/>
      <c r="L26" s="10"/>
      <c r="M26" s="10"/>
      <c r="N26" s="10"/>
      <c r="O26" s="10"/>
      <c r="P26" s="10"/>
      <c r="Q26" s="10"/>
      <c r="R26" s="10"/>
    </row>
    <row r="27" spans="1:28" x14ac:dyDescent="0.2">
      <c r="J27" s="10"/>
      <c r="K27" s="10"/>
      <c r="L27" s="10"/>
      <c r="M27" s="10"/>
      <c r="N27" s="10"/>
      <c r="O27" s="10"/>
      <c r="P27" s="10"/>
      <c r="Q27" s="10"/>
      <c r="R27" s="10"/>
    </row>
    <row r="28" spans="1:28" x14ac:dyDescent="0.2">
      <c r="J28" s="10"/>
      <c r="K28" s="10"/>
      <c r="L28" s="10"/>
      <c r="M28" s="10"/>
      <c r="N28" s="10"/>
      <c r="O28" s="10"/>
      <c r="P28" s="10"/>
      <c r="Q28" s="10"/>
      <c r="R28" s="10"/>
    </row>
    <row r="29" spans="1:28" x14ac:dyDescent="0.2">
      <c r="J29" s="10"/>
      <c r="K29" s="10"/>
      <c r="L29" s="10"/>
      <c r="M29" s="10"/>
      <c r="N29" s="10"/>
      <c r="O29" s="10"/>
      <c r="P29" s="10"/>
      <c r="Q29" s="10"/>
      <c r="R29" s="10"/>
    </row>
    <row r="30" spans="1:28" x14ac:dyDescent="0.2">
      <c r="J30" s="10"/>
      <c r="K30" s="10"/>
      <c r="L30" s="10"/>
      <c r="M30" s="10"/>
      <c r="N30" s="10"/>
      <c r="O30" s="10"/>
      <c r="P30" s="10"/>
      <c r="Q30" s="10"/>
      <c r="R30" s="10"/>
    </row>
    <row r="31" spans="1:28" x14ac:dyDescent="0.2">
      <c r="J31" s="10"/>
      <c r="K31" s="10"/>
      <c r="L31" s="10"/>
      <c r="M31" s="10"/>
      <c r="N31" s="10"/>
      <c r="O31" s="10"/>
      <c r="P31" s="10"/>
      <c r="Q31" s="10"/>
      <c r="R31" s="10"/>
    </row>
    <row r="32" spans="1:28" x14ac:dyDescent="0.2">
      <c r="J32" s="10"/>
      <c r="K32" s="10"/>
      <c r="L32" s="10"/>
      <c r="M32" s="10"/>
      <c r="N32" s="10"/>
      <c r="O32" s="10"/>
      <c r="P32" s="10"/>
      <c r="Q32" s="10"/>
      <c r="R32" s="10"/>
    </row>
    <row r="33" spans="1:24" x14ac:dyDescent="0.2">
      <c r="P33" s="10"/>
      <c r="Q33" s="10"/>
      <c r="R33" s="10"/>
      <c r="S33" s="10"/>
      <c r="T33" s="10"/>
      <c r="U33" s="10"/>
      <c r="V33" s="10"/>
      <c r="W33" s="10"/>
      <c r="X33" s="10"/>
    </row>
    <row r="34" spans="1:24" x14ac:dyDescent="0.2">
      <c r="P34" s="10"/>
      <c r="Q34" s="10"/>
      <c r="R34" s="10"/>
      <c r="S34" s="10"/>
      <c r="T34" s="10"/>
      <c r="U34" s="10"/>
      <c r="V34" s="10"/>
      <c r="W34" s="10"/>
      <c r="X34" s="10"/>
    </row>
    <row r="35" spans="1:24" x14ac:dyDescent="0.2">
      <c r="P35" s="10"/>
      <c r="Q35" s="10"/>
      <c r="R35" s="10"/>
      <c r="S35" s="10"/>
      <c r="T35" s="10"/>
      <c r="U35" s="10"/>
      <c r="V35" s="10"/>
      <c r="W35" s="10"/>
      <c r="X35" s="10"/>
    </row>
    <row r="36" spans="1:24" x14ac:dyDescent="0.2">
      <c r="P36" s="10"/>
      <c r="Q36" s="10"/>
      <c r="R36" s="10"/>
      <c r="S36" s="10"/>
      <c r="T36" s="10"/>
      <c r="U36" s="10"/>
      <c r="V36" s="10"/>
      <c r="W36" s="10"/>
      <c r="X36" s="10"/>
    </row>
    <row r="37" spans="1:24" x14ac:dyDescent="0.2">
      <c r="P37" s="10"/>
      <c r="Q37" s="10"/>
      <c r="R37" s="10"/>
      <c r="S37" s="10"/>
      <c r="T37" s="10"/>
      <c r="U37" s="10"/>
      <c r="V37" s="10"/>
      <c r="W37" s="10"/>
      <c r="X37" s="10"/>
    </row>
    <row r="38" spans="1:24" x14ac:dyDescent="0.2">
      <c r="A38" s="10"/>
      <c r="B38" s="10"/>
      <c r="C38" s="10"/>
      <c r="D38" s="10"/>
      <c r="E38" s="10"/>
      <c r="F38" s="10"/>
      <c r="G38" s="10"/>
      <c r="H38" s="10"/>
      <c r="I38" s="10"/>
      <c r="J38" s="10"/>
      <c r="K38" s="10"/>
      <c r="L38" s="10"/>
      <c r="M38" s="10"/>
      <c r="N38" s="10"/>
      <c r="O38" s="10"/>
      <c r="P38" s="10"/>
      <c r="Q38" s="10"/>
      <c r="R38" s="10"/>
      <c r="S38" s="10"/>
      <c r="T38" s="10"/>
      <c r="U38" s="10"/>
      <c r="V38" s="10"/>
      <c r="W38" s="10"/>
      <c r="X38" s="10"/>
    </row>
    <row r="39" spans="1:24" x14ac:dyDescent="0.2">
      <c r="A39" s="10"/>
      <c r="B39" s="10"/>
      <c r="C39" s="10"/>
      <c r="D39" s="10"/>
      <c r="E39" s="10"/>
      <c r="F39" s="10"/>
      <c r="G39" s="10"/>
      <c r="H39" s="10"/>
      <c r="I39" s="10"/>
      <c r="J39" s="10"/>
      <c r="K39" s="10"/>
      <c r="L39" s="10"/>
      <c r="M39" s="10"/>
      <c r="N39" s="10"/>
      <c r="O39" s="10"/>
      <c r="P39" s="10"/>
      <c r="Q39" s="10"/>
      <c r="R39" s="10"/>
      <c r="S39" s="10"/>
      <c r="T39" s="10"/>
      <c r="U39" s="10"/>
      <c r="V39" s="10"/>
      <c r="W39" s="10"/>
      <c r="X39" s="10"/>
    </row>
    <row r="40" spans="1:24" x14ac:dyDescent="0.2">
      <c r="A40" s="10"/>
      <c r="B40" s="10"/>
      <c r="C40" s="10"/>
      <c r="D40" s="10"/>
      <c r="E40" s="10"/>
      <c r="F40" s="10"/>
      <c r="G40" s="10"/>
      <c r="H40" s="10"/>
      <c r="I40" s="10"/>
      <c r="J40" s="10"/>
      <c r="K40" s="10"/>
      <c r="L40" s="10"/>
      <c r="M40" s="10"/>
      <c r="N40" s="10"/>
      <c r="O40" s="10"/>
      <c r="P40" s="10"/>
      <c r="Q40" s="10"/>
      <c r="R40" s="10"/>
      <c r="S40" s="10"/>
      <c r="T40" s="10"/>
      <c r="U40" s="10"/>
      <c r="V40" s="10"/>
      <c r="W40" s="10"/>
      <c r="X40" s="10"/>
    </row>
    <row r="41" spans="1:24" x14ac:dyDescent="0.2">
      <c r="A41" s="10"/>
      <c r="B41" s="10"/>
      <c r="C41" s="10"/>
      <c r="D41" s="10"/>
      <c r="E41" s="10"/>
      <c r="F41" s="10"/>
      <c r="G41" s="10"/>
      <c r="H41" s="10"/>
      <c r="I41" s="10"/>
      <c r="J41" s="10"/>
      <c r="K41" s="10"/>
      <c r="L41" s="10"/>
      <c r="M41" s="10"/>
      <c r="N41" s="10"/>
      <c r="O41" s="10"/>
      <c r="P41" s="10"/>
      <c r="Q41" s="10"/>
      <c r="R41" s="10"/>
      <c r="S41" s="10"/>
      <c r="T41" s="10"/>
      <c r="U41" s="10"/>
      <c r="V41" s="10"/>
      <c r="W41" s="10"/>
      <c r="X41" s="10"/>
    </row>
    <row r="42" spans="1:24" x14ac:dyDescent="0.2">
      <c r="A42" s="10"/>
      <c r="B42" s="10"/>
      <c r="C42" s="10"/>
      <c r="D42" s="10"/>
      <c r="E42" s="10"/>
      <c r="F42" s="10"/>
      <c r="G42" s="10"/>
      <c r="H42" s="10"/>
      <c r="I42" s="10"/>
      <c r="J42" s="10"/>
      <c r="K42" s="10"/>
      <c r="L42" s="10"/>
      <c r="M42" s="10"/>
      <c r="N42" s="10"/>
      <c r="O42" s="10"/>
      <c r="P42" s="10"/>
      <c r="Q42" s="10"/>
      <c r="R42" s="10"/>
      <c r="S42" s="10"/>
      <c r="T42" s="10"/>
      <c r="U42" s="10"/>
      <c r="V42" s="10"/>
      <c r="W42" s="10"/>
      <c r="X42" s="10"/>
    </row>
    <row r="43" spans="1:24" x14ac:dyDescent="0.2">
      <c r="A43" s="10"/>
      <c r="B43" s="10"/>
      <c r="C43" s="10"/>
      <c r="D43" s="10"/>
      <c r="E43" s="10"/>
      <c r="F43" s="10"/>
      <c r="G43" s="10"/>
      <c r="H43" s="10"/>
      <c r="I43" s="10"/>
      <c r="J43" s="10"/>
      <c r="K43" s="10"/>
      <c r="L43" s="10"/>
      <c r="M43" s="10"/>
      <c r="N43" s="10"/>
      <c r="O43" s="10"/>
      <c r="P43" s="10"/>
      <c r="Q43" s="10"/>
      <c r="R43" s="10"/>
      <c r="S43" s="10"/>
      <c r="T43" s="10"/>
      <c r="U43" s="10"/>
      <c r="V43" s="10"/>
      <c r="W43" s="10"/>
      <c r="X43" s="10"/>
    </row>
    <row r="44" spans="1:24" x14ac:dyDescent="0.2">
      <c r="A44" s="10"/>
      <c r="B44" s="10"/>
      <c r="C44" s="10"/>
      <c r="D44" s="10"/>
      <c r="E44" s="10"/>
      <c r="F44" s="10"/>
      <c r="G44" s="10"/>
      <c r="H44" s="10"/>
      <c r="I44" s="10"/>
      <c r="J44" s="10"/>
      <c r="K44" s="10"/>
      <c r="L44" s="10"/>
      <c r="M44" s="10"/>
      <c r="N44" s="10"/>
      <c r="O44" s="10"/>
      <c r="P44" s="10"/>
      <c r="Q44" s="10"/>
      <c r="R44" s="10"/>
      <c r="S44" s="10"/>
      <c r="T44" s="10"/>
      <c r="U44" s="10"/>
      <c r="V44" s="10"/>
      <c r="W44" s="10"/>
      <c r="X44" s="10"/>
    </row>
    <row r="45" spans="1:24" x14ac:dyDescent="0.2">
      <c r="A45" s="10"/>
      <c r="B45" s="10"/>
      <c r="C45" s="10"/>
      <c r="D45" s="10"/>
      <c r="E45" s="10"/>
      <c r="F45" s="10"/>
      <c r="G45" s="10"/>
      <c r="H45" s="10"/>
      <c r="I45" s="10"/>
      <c r="J45" s="10"/>
      <c r="K45" s="10"/>
      <c r="L45" s="10"/>
      <c r="M45" s="10"/>
      <c r="N45" s="10"/>
      <c r="O45" s="10"/>
      <c r="P45" s="10"/>
      <c r="Q45" s="10"/>
      <c r="R45" s="10"/>
      <c r="S45" s="10"/>
      <c r="T45" s="10"/>
      <c r="U45" s="10"/>
      <c r="V45" s="10"/>
      <c r="W45" s="10"/>
      <c r="X45" s="10"/>
    </row>
    <row r="46" spans="1:24" x14ac:dyDescent="0.2">
      <c r="A46" s="10"/>
      <c r="B46" s="10"/>
      <c r="C46" s="10"/>
      <c r="D46" s="10"/>
      <c r="E46" s="10"/>
      <c r="F46" s="10"/>
      <c r="G46" s="10"/>
      <c r="H46" s="10"/>
      <c r="I46" s="10"/>
      <c r="J46" s="10"/>
      <c r="K46" s="10"/>
      <c r="L46" s="10"/>
      <c r="M46" s="10"/>
      <c r="N46" s="10"/>
      <c r="O46" s="10"/>
      <c r="P46" s="10"/>
      <c r="Q46" s="10"/>
      <c r="R46" s="10"/>
      <c r="S46" s="10"/>
      <c r="T46" s="10"/>
      <c r="U46" s="10"/>
      <c r="V46" s="10"/>
      <c r="W46" s="10"/>
      <c r="X46" s="10"/>
    </row>
    <row r="47" spans="1:24" x14ac:dyDescent="0.2">
      <c r="A47" s="10"/>
      <c r="B47" s="10"/>
      <c r="C47" s="10"/>
      <c r="D47" s="10"/>
      <c r="E47" s="10"/>
      <c r="F47" s="10"/>
      <c r="G47" s="10"/>
      <c r="H47" s="10"/>
      <c r="I47" s="10"/>
      <c r="J47" s="10"/>
      <c r="K47" s="10"/>
      <c r="L47" s="10"/>
      <c r="M47" s="10"/>
      <c r="N47" s="10"/>
      <c r="O47" s="10"/>
      <c r="P47" s="10"/>
      <c r="Q47" s="10"/>
      <c r="R47" s="10"/>
      <c r="S47" s="10"/>
      <c r="T47" s="10"/>
      <c r="U47" s="10"/>
      <c r="V47" s="10"/>
      <c r="W47" s="10"/>
      <c r="X47" s="10"/>
    </row>
    <row r="48" spans="1:24" x14ac:dyDescent="0.2">
      <c r="A48" s="10"/>
      <c r="B48" s="10"/>
      <c r="C48" s="10"/>
      <c r="D48" s="10"/>
      <c r="E48" s="10"/>
      <c r="F48" s="10"/>
      <c r="G48" s="10"/>
      <c r="H48" s="10"/>
      <c r="I48" s="10"/>
      <c r="J48" s="10"/>
      <c r="K48" s="10"/>
      <c r="L48" s="10"/>
      <c r="M48" s="10"/>
      <c r="N48" s="10"/>
      <c r="O48" s="10"/>
      <c r="P48" s="10"/>
      <c r="Q48" s="10"/>
      <c r="R48" s="10"/>
      <c r="S48" s="10"/>
      <c r="T48" s="10"/>
      <c r="U48" s="10"/>
      <c r="V48" s="10"/>
      <c r="W48" s="10"/>
      <c r="X48" s="10"/>
    </row>
    <row r="49" spans="1:24" x14ac:dyDescent="0.2">
      <c r="A49" s="10"/>
      <c r="B49" s="10"/>
      <c r="C49" s="10"/>
      <c r="D49" s="10"/>
      <c r="E49" s="10"/>
      <c r="F49" s="10"/>
      <c r="G49" s="10"/>
      <c r="H49" s="10"/>
      <c r="I49" s="10"/>
      <c r="J49" s="10"/>
      <c r="K49" s="10"/>
      <c r="L49" s="10"/>
      <c r="M49" s="10"/>
      <c r="N49" s="10"/>
      <c r="O49" s="10"/>
      <c r="P49" s="10"/>
      <c r="Q49" s="10"/>
      <c r="R49" s="10"/>
      <c r="S49" s="10"/>
      <c r="T49" s="10"/>
      <c r="U49" s="10"/>
      <c r="V49" s="10"/>
      <c r="W49" s="10"/>
      <c r="X49" s="10"/>
    </row>
    <row r="50" spans="1:24" x14ac:dyDescent="0.2">
      <c r="A50" s="10"/>
      <c r="B50" s="10"/>
      <c r="C50" s="10"/>
      <c r="D50" s="10"/>
      <c r="E50" s="10"/>
      <c r="F50" s="10"/>
      <c r="G50" s="10"/>
      <c r="H50" s="10"/>
      <c r="I50" s="10"/>
      <c r="J50" s="10"/>
      <c r="K50" s="10"/>
      <c r="L50" s="10"/>
      <c r="M50" s="10"/>
      <c r="N50" s="10"/>
      <c r="O50" s="10"/>
      <c r="P50" s="10"/>
      <c r="Q50" s="10"/>
      <c r="R50" s="10"/>
      <c r="S50" s="10"/>
      <c r="T50" s="10"/>
      <c r="U50" s="10"/>
      <c r="V50" s="10"/>
      <c r="W50" s="10"/>
      <c r="X50" s="10"/>
    </row>
    <row r="51" spans="1:24" x14ac:dyDescent="0.2">
      <c r="A51" s="10"/>
      <c r="B51" s="10"/>
      <c r="C51" s="10"/>
      <c r="D51" s="10"/>
      <c r="E51" s="10"/>
      <c r="F51" s="10"/>
      <c r="G51" s="10"/>
      <c r="H51" s="10"/>
      <c r="I51" s="10"/>
      <c r="J51" s="10"/>
      <c r="K51" s="10"/>
      <c r="L51" s="10"/>
      <c r="M51" s="10"/>
      <c r="N51" s="10"/>
      <c r="O51" s="10"/>
      <c r="P51" s="10"/>
      <c r="Q51" s="10"/>
      <c r="R51" s="10"/>
      <c r="S51" s="10"/>
      <c r="T51" s="10"/>
      <c r="U51" s="10"/>
      <c r="V51" s="10"/>
      <c r="W51" s="10"/>
      <c r="X51" s="10"/>
    </row>
    <row r="52" spans="1:24" x14ac:dyDescent="0.2">
      <c r="A52" s="10"/>
      <c r="B52" s="10"/>
      <c r="C52" s="10"/>
      <c r="D52" s="10"/>
      <c r="E52" s="10"/>
      <c r="F52" s="10"/>
      <c r="G52" s="10"/>
      <c r="H52" s="10"/>
      <c r="I52" s="10"/>
      <c r="J52" s="10"/>
      <c r="K52" s="10"/>
      <c r="L52" s="10"/>
      <c r="M52" s="10"/>
      <c r="N52" s="10"/>
      <c r="O52" s="10"/>
      <c r="P52" s="10"/>
      <c r="Q52" s="10"/>
      <c r="R52" s="10"/>
      <c r="S52" s="10"/>
      <c r="T52" s="10"/>
      <c r="U52" s="10"/>
      <c r="V52" s="10"/>
      <c r="W52" s="10"/>
      <c r="X52" s="10"/>
    </row>
    <row r="53" spans="1:24" x14ac:dyDescent="0.2">
      <c r="A53" s="10"/>
      <c r="B53" s="10"/>
      <c r="C53" s="10"/>
      <c r="D53" s="10"/>
      <c r="E53" s="10"/>
      <c r="F53" s="10"/>
      <c r="G53" s="10"/>
      <c r="H53" s="10"/>
      <c r="I53" s="10"/>
      <c r="J53" s="10"/>
      <c r="K53" s="10"/>
      <c r="L53" s="10"/>
      <c r="M53" s="10"/>
      <c r="N53" s="10"/>
      <c r="O53" s="10"/>
      <c r="P53" s="10"/>
      <c r="Q53" s="10"/>
      <c r="R53" s="10"/>
      <c r="S53" s="10"/>
      <c r="T53" s="10"/>
      <c r="U53" s="10"/>
      <c r="V53" s="10"/>
      <c r="W53" s="10"/>
      <c r="X53" s="10"/>
    </row>
    <row r="54" spans="1:24"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row>
    <row r="55" spans="1:24" x14ac:dyDescent="0.2">
      <c r="A55" s="10"/>
      <c r="B55" s="10"/>
      <c r="C55" s="10"/>
      <c r="D55" s="10"/>
      <c r="E55" s="10"/>
      <c r="F55" s="10"/>
      <c r="G55" s="10"/>
      <c r="H55" s="10"/>
      <c r="I55" s="10"/>
      <c r="J55" s="10"/>
      <c r="K55" s="10"/>
      <c r="L55" s="10"/>
      <c r="M55" s="10"/>
      <c r="N55" s="10"/>
      <c r="O55" s="10"/>
      <c r="P55" s="10"/>
      <c r="Q55" s="10"/>
      <c r="R55" s="10"/>
      <c r="S55" s="10"/>
      <c r="T55" s="10"/>
      <c r="U55" s="10"/>
      <c r="V55" s="10"/>
      <c r="W55" s="10"/>
      <c r="X55" s="10"/>
    </row>
    <row r="56" spans="1:24" x14ac:dyDescent="0.2">
      <c r="A56" s="10"/>
      <c r="B56" s="10"/>
      <c r="C56" s="10"/>
      <c r="D56" s="10"/>
      <c r="E56" s="10"/>
      <c r="F56" s="10"/>
      <c r="G56" s="10"/>
      <c r="H56" s="10"/>
      <c r="I56" s="10"/>
      <c r="J56" s="10"/>
      <c r="K56" s="10"/>
      <c r="L56" s="10"/>
      <c r="M56" s="10"/>
      <c r="N56" s="10"/>
      <c r="O56" s="10"/>
      <c r="P56" s="10"/>
      <c r="Q56" s="10"/>
      <c r="R56" s="10"/>
      <c r="S56" s="10"/>
      <c r="T56" s="10"/>
      <c r="U56" s="10"/>
      <c r="V56" s="10"/>
      <c r="W56" s="10"/>
      <c r="X56" s="10"/>
    </row>
    <row r="57" spans="1:24" x14ac:dyDescent="0.2">
      <c r="A57" s="10"/>
      <c r="B57" s="10"/>
      <c r="C57" s="10"/>
      <c r="D57" s="10"/>
      <c r="E57" s="10"/>
      <c r="F57" s="10"/>
      <c r="G57" s="10"/>
      <c r="H57" s="10"/>
      <c r="I57" s="10"/>
      <c r="J57" s="10"/>
      <c r="K57" s="10"/>
      <c r="L57" s="10"/>
      <c r="M57" s="10"/>
      <c r="N57" s="10"/>
      <c r="O57" s="10"/>
      <c r="P57" s="10"/>
      <c r="Q57" s="10"/>
      <c r="R57" s="10"/>
      <c r="S57" s="10"/>
      <c r="T57" s="10"/>
      <c r="U57" s="10"/>
      <c r="V57" s="10"/>
      <c r="W57" s="10"/>
      <c r="X57" s="10"/>
    </row>
    <row r="58" spans="1:24" x14ac:dyDescent="0.2">
      <c r="A58" s="10"/>
      <c r="B58" s="10"/>
      <c r="C58" s="10"/>
      <c r="D58" s="10"/>
      <c r="E58" s="10"/>
      <c r="F58" s="10"/>
      <c r="G58" s="10"/>
      <c r="H58" s="10"/>
      <c r="I58" s="10"/>
      <c r="J58" s="10"/>
      <c r="K58" s="10"/>
      <c r="L58" s="10"/>
      <c r="M58" s="10"/>
      <c r="N58" s="10"/>
      <c r="O58" s="10"/>
      <c r="P58" s="10"/>
      <c r="Q58" s="10"/>
      <c r="R58" s="10"/>
      <c r="S58" s="10"/>
      <c r="T58" s="10"/>
      <c r="U58" s="10"/>
      <c r="V58" s="10"/>
      <c r="W58" s="10"/>
      <c r="X58" s="10"/>
    </row>
    <row r="59" spans="1:24" x14ac:dyDescent="0.2">
      <c r="A59" s="10"/>
      <c r="B59" s="10"/>
      <c r="C59" s="10"/>
      <c r="D59" s="10"/>
      <c r="E59" s="10"/>
      <c r="F59" s="10"/>
      <c r="G59" s="10"/>
      <c r="H59" s="10"/>
      <c r="I59" s="10"/>
      <c r="J59" s="10"/>
      <c r="K59" s="10"/>
      <c r="L59" s="10"/>
      <c r="M59" s="10"/>
      <c r="N59" s="10"/>
      <c r="O59" s="10"/>
      <c r="P59" s="10"/>
      <c r="Q59" s="10"/>
      <c r="R59" s="10"/>
      <c r="S59" s="10"/>
      <c r="T59" s="10"/>
      <c r="U59" s="10"/>
      <c r="V59" s="10"/>
      <c r="W59" s="10"/>
      <c r="X59" s="10"/>
    </row>
    <row r="60" spans="1:24" x14ac:dyDescent="0.2">
      <c r="A60" s="10"/>
      <c r="B60" s="10"/>
      <c r="C60" s="10"/>
      <c r="D60" s="10"/>
      <c r="E60" s="10"/>
      <c r="F60" s="10"/>
      <c r="G60" s="10"/>
      <c r="H60" s="10"/>
      <c r="I60" s="10"/>
      <c r="J60" s="10"/>
      <c r="K60" s="10"/>
      <c r="L60" s="10"/>
      <c r="M60" s="10"/>
      <c r="N60" s="10"/>
      <c r="O60" s="10"/>
      <c r="P60" s="10"/>
      <c r="Q60" s="10"/>
      <c r="R60" s="10"/>
      <c r="S60" s="10"/>
      <c r="T60" s="10"/>
      <c r="U60" s="10"/>
      <c r="V60" s="10"/>
      <c r="W60" s="10"/>
      <c r="X60" s="10"/>
    </row>
    <row r="61" spans="1:24" x14ac:dyDescent="0.2">
      <c r="A61" s="10"/>
      <c r="B61" s="10"/>
      <c r="C61" s="10"/>
      <c r="D61" s="10"/>
      <c r="E61" s="10"/>
      <c r="F61" s="10"/>
      <c r="G61" s="10"/>
      <c r="H61" s="10"/>
      <c r="I61" s="10"/>
      <c r="J61" s="10"/>
      <c r="K61" s="10"/>
      <c r="L61" s="10"/>
      <c r="M61" s="10"/>
      <c r="N61" s="10"/>
      <c r="O61" s="10"/>
      <c r="P61" s="10"/>
      <c r="Q61" s="10"/>
      <c r="R61" s="10"/>
      <c r="S61" s="10"/>
      <c r="T61" s="10"/>
      <c r="U61" s="10"/>
      <c r="V61" s="10"/>
      <c r="W61" s="10"/>
      <c r="X61" s="10"/>
    </row>
    <row r="62" spans="1:24" x14ac:dyDescent="0.2">
      <c r="A62" s="10"/>
      <c r="B62" s="10"/>
      <c r="C62" s="10"/>
      <c r="D62" s="10"/>
      <c r="E62" s="10"/>
      <c r="F62" s="10"/>
      <c r="G62" s="10"/>
      <c r="H62" s="10"/>
      <c r="I62" s="10"/>
      <c r="J62" s="10"/>
      <c r="K62" s="10"/>
      <c r="L62" s="10"/>
      <c r="M62" s="10"/>
      <c r="N62" s="10"/>
      <c r="O62" s="10"/>
      <c r="P62" s="10"/>
      <c r="Q62" s="10"/>
      <c r="R62" s="10"/>
      <c r="S62" s="10"/>
      <c r="T62" s="10"/>
      <c r="U62" s="10"/>
      <c r="V62" s="10"/>
      <c r="W62" s="10"/>
      <c r="X62" s="10"/>
    </row>
    <row r="63" spans="1:24" x14ac:dyDescent="0.2">
      <c r="A63" s="10"/>
      <c r="B63" s="10"/>
      <c r="C63" s="10"/>
      <c r="D63" s="10"/>
      <c r="E63" s="10"/>
      <c r="F63" s="10"/>
      <c r="G63" s="10"/>
      <c r="H63" s="10"/>
      <c r="I63" s="10"/>
      <c r="J63" s="10"/>
      <c r="K63" s="10"/>
      <c r="L63" s="10"/>
      <c r="M63" s="10"/>
      <c r="N63" s="10"/>
      <c r="O63" s="10"/>
      <c r="P63" s="10"/>
      <c r="Q63" s="10"/>
      <c r="R63" s="10"/>
      <c r="S63" s="10"/>
      <c r="T63" s="10"/>
      <c r="U63" s="10"/>
      <c r="V63" s="10"/>
      <c r="W63" s="10"/>
      <c r="X63" s="10"/>
    </row>
    <row r="64" spans="1:24" x14ac:dyDescent="0.2">
      <c r="A64" s="10"/>
      <c r="B64" s="10"/>
      <c r="C64" s="10"/>
      <c r="D64" s="10"/>
      <c r="E64" s="10"/>
      <c r="F64" s="10"/>
      <c r="G64" s="10"/>
      <c r="H64" s="10"/>
      <c r="I64" s="10"/>
      <c r="J64" s="10"/>
      <c r="K64" s="10"/>
      <c r="L64" s="10"/>
      <c r="M64" s="10"/>
      <c r="N64" s="10"/>
      <c r="O64" s="10"/>
      <c r="P64" s="10"/>
      <c r="Q64" s="10"/>
      <c r="R64" s="10"/>
      <c r="S64" s="10"/>
      <c r="T64" s="10"/>
      <c r="U64" s="10"/>
      <c r="V64" s="10"/>
      <c r="W64" s="10"/>
      <c r="X64" s="10"/>
    </row>
    <row r="65" spans="1:24" x14ac:dyDescent="0.2">
      <c r="A65" s="10"/>
      <c r="B65" s="10"/>
      <c r="C65" s="10"/>
      <c r="D65" s="10"/>
      <c r="E65" s="10"/>
      <c r="F65" s="10"/>
      <c r="G65" s="10"/>
      <c r="H65" s="10"/>
      <c r="I65" s="10"/>
      <c r="J65" s="10"/>
      <c r="K65" s="10"/>
      <c r="L65" s="10"/>
      <c r="M65" s="10"/>
      <c r="N65" s="10"/>
      <c r="O65" s="10"/>
      <c r="P65" s="10"/>
      <c r="Q65" s="10"/>
      <c r="R65" s="10"/>
      <c r="S65" s="10"/>
      <c r="T65" s="10"/>
      <c r="U65" s="10"/>
      <c r="V65" s="10"/>
      <c r="W65" s="10"/>
      <c r="X65" s="10"/>
    </row>
    <row r="66" spans="1:24" x14ac:dyDescent="0.2">
      <c r="A66" s="10"/>
      <c r="B66" s="10"/>
      <c r="C66" s="10"/>
      <c r="D66" s="10"/>
      <c r="E66" s="10"/>
      <c r="F66" s="10"/>
      <c r="G66" s="10"/>
      <c r="H66" s="10"/>
      <c r="I66" s="10"/>
      <c r="J66" s="10"/>
      <c r="K66" s="10"/>
      <c r="L66" s="10"/>
      <c r="M66" s="10"/>
      <c r="N66" s="10"/>
      <c r="O66" s="10"/>
      <c r="P66" s="10"/>
      <c r="Q66" s="10"/>
      <c r="R66" s="10"/>
      <c r="S66" s="10"/>
      <c r="T66" s="10"/>
      <c r="U66" s="10"/>
      <c r="V66" s="10"/>
      <c r="W66" s="10"/>
      <c r="X66" s="10"/>
    </row>
    <row r="67" spans="1:24"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row>
    <row r="68" spans="1:24"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row>
    <row r="69" spans="1:24"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row>
    <row r="70" spans="1:24"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row>
    <row r="71" spans="1:24"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row>
    <row r="72" spans="1:24"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row>
    <row r="73" spans="1:24"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row>
    <row r="74" spans="1:24"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row>
    <row r="75" spans="1:24"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row>
    <row r="76" spans="1:24"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row>
    <row r="77" spans="1:24"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row>
    <row r="78" spans="1:24"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row>
    <row r="79" spans="1:24"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row>
    <row r="80" spans="1:24"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row>
    <row r="81" spans="1:24"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row>
    <row r="82" spans="1:24"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row>
    <row r="83" spans="1:24"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row>
    <row r="84" spans="1:24"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row>
    <row r="85" spans="1:24"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row>
    <row r="86" spans="1:24"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row>
    <row r="87" spans="1:24"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row>
    <row r="88" spans="1:24"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row>
    <row r="89" spans="1:24"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row>
    <row r="90" spans="1:24"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row>
    <row r="91" spans="1:24"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row>
    <row r="92" spans="1:24"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row>
    <row r="93" spans="1:24"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row>
    <row r="94" spans="1:24"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row>
    <row r="95" spans="1:24"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row>
    <row r="96" spans="1:24"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row>
    <row r="97" spans="1:24"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row>
    <row r="98" spans="1:24"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row>
    <row r="99" spans="1:24"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row>
    <row r="100" spans="1:24"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row>
    <row r="101" spans="1:24"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row>
    <row r="102" spans="1:24"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row>
    <row r="103" spans="1:24"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row>
    <row r="104" spans="1:24"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row>
    <row r="105" spans="1:24"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row>
    <row r="106" spans="1:24"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row>
    <row r="107" spans="1:24"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row>
    <row r="108" spans="1:24"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row>
    <row r="109" spans="1:24"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row>
    <row r="110" spans="1:24"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row>
    <row r="111" spans="1:24"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row>
    <row r="112" spans="1:24"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row>
    <row r="113" spans="1:24"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row>
    <row r="114" spans="1:24"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row>
    <row r="115" spans="1:24"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row>
    <row r="116" spans="1:24"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row>
    <row r="117" spans="1:24"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row>
    <row r="118" spans="1:24"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row>
  </sheetData>
  <mergeCells count="14">
    <mergeCell ref="A12:G12"/>
    <mergeCell ref="A20:G20"/>
    <mergeCell ref="A15:G15"/>
    <mergeCell ref="A17:G17"/>
    <mergeCell ref="A13:G13"/>
    <mergeCell ref="A14:G14"/>
    <mergeCell ref="A16:G16"/>
    <mergeCell ref="A19:G19"/>
    <mergeCell ref="A18:G18"/>
    <mergeCell ref="A7:G7"/>
    <mergeCell ref="A8:G8"/>
    <mergeCell ref="A9:G9"/>
    <mergeCell ref="A10:G10"/>
    <mergeCell ref="A11:G11"/>
  </mergeCells>
  <phoneticPr fontId="2" type="noConversion"/>
  <conditionalFormatting sqref="H13:K13">
    <cfRule type="expression" dxfId="3" priority="1" stopIfTrue="1">
      <formula>$K$6=0</formula>
    </cfRule>
    <cfRule type="expression" dxfId="2" priority="2" stopIfTrue="1">
      <formula>$H$13="Решение найдено с желаемой точностью!"</formula>
    </cfRule>
    <cfRule type="expression" dxfId="1" priority="3" stopIfTrue="1">
      <formula>$K$6&gt;0</formula>
    </cfRule>
  </conditionalFormatting>
  <conditionalFormatting sqref="H14:H19">
    <cfRule type="expression" dxfId="0" priority="4" stopIfTrue="1">
      <formula>$H$13="Решение найдено с желаемой точностью!"</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72" r:id="rId4" name="List Box 248">
              <controlPr defaultSize="0" autoLine="0" autoPict="0">
                <anchor moveWithCells="1">
                  <from>
                    <xdr:col>6</xdr:col>
                    <xdr:colOff>0</xdr:colOff>
                    <xdr:row>4</xdr:row>
                    <xdr:rowOff>9525</xdr:rowOff>
                  </from>
                  <to>
                    <xdr:col>8</xdr:col>
                    <xdr:colOff>0</xdr:colOff>
                    <xdr:row>6</xdr:row>
                    <xdr:rowOff>28575</xdr:rowOff>
                  </to>
                </anchor>
              </controlPr>
            </control>
          </mc:Choice>
        </mc:AlternateContent>
        <mc:AlternateContent xmlns:mc="http://schemas.openxmlformats.org/markup-compatibility/2006">
          <mc:Choice Requires="x14">
            <control shapeId="1274" r:id="rId5" name="Drop Down 250">
              <controlPr defaultSize="0" autoLine="0" autoPict="0">
                <anchor moveWithCells="1">
                  <from>
                    <xdr:col>8</xdr:col>
                    <xdr:colOff>0</xdr:colOff>
                    <xdr:row>4</xdr:row>
                    <xdr:rowOff>542925</xdr:rowOff>
                  </from>
                  <to>
                    <xdr:col>9</xdr:col>
                    <xdr:colOff>9525</xdr:colOff>
                    <xdr:row>5</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45"/>
  <sheetViews>
    <sheetView topLeftCell="G13" zoomScale="85" zoomScaleNormal="85" workbookViewId="0">
      <selection activeCell="X30" sqref="X30"/>
    </sheetView>
  </sheetViews>
  <sheetFormatPr defaultRowHeight="12.75" x14ac:dyDescent="0.2"/>
  <cols>
    <col min="1" max="1" width="3.28515625" customWidth="1"/>
    <col min="2" max="2" width="14.42578125" customWidth="1"/>
    <col min="3" max="7" width="12.28515625" customWidth="1"/>
    <col min="8" max="8" width="13.140625" customWidth="1"/>
    <col min="9" max="9" width="23.7109375" customWidth="1"/>
    <col min="10" max="10" width="10.140625" bestFit="1" customWidth="1"/>
  </cols>
  <sheetData>
    <row r="1" spans="1:10" ht="18.75" x14ac:dyDescent="0.3">
      <c r="A1" s="3" t="s">
        <v>40</v>
      </c>
    </row>
    <row r="2" spans="1:10" x14ac:dyDescent="0.2">
      <c r="A2" t="s">
        <v>38</v>
      </c>
    </row>
    <row r="3" spans="1:10" x14ac:dyDescent="0.2">
      <c r="A3" t="s">
        <v>39</v>
      </c>
    </row>
    <row r="4" spans="1:10" x14ac:dyDescent="0.2">
      <c r="A4" s="51" t="s">
        <v>46</v>
      </c>
    </row>
    <row r="5" spans="1:10" x14ac:dyDescent="0.2">
      <c r="A5" t="s">
        <v>47</v>
      </c>
    </row>
    <row r="6" spans="1:10" x14ac:dyDescent="0.2">
      <c r="A6" t="s">
        <v>48</v>
      </c>
    </row>
    <row r="7" spans="1:10" x14ac:dyDescent="0.2">
      <c r="A7" t="s">
        <v>49</v>
      </c>
    </row>
    <row r="8" spans="1:10" x14ac:dyDescent="0.2">
      <c r="A8" t="s">
        <v>50</v>
      </c>
    </row>
    <row r="10" spans="1:10" x14ac:dyDescent="0.2">
      <c r="A10" s="6" t="s">
        <v>51</v>
      </c>
    </row>
    <row r="11" spans="1:10" ht="51.75" thickBot="1" x14ac:dyDescent="0.25">
      <c r="A11" s="98" t="s">
        <v>4</v>
      </c>
      <c r="B11" s="98" t="s">
        <v>8</v>
      </c>
      <c r="C11" s="98" t="s">
        <v>11</v>
      </c>
      <c r="D11" s="98" t="s">
        <v>9</v>
      </c>
      <c r="E11" s="98" t="s">
        <v>12</v>
      </c>
      <c r="F11" s="98" t="s">
        <v>41</v>
      </c>
      <c r="G11" s="98" t="s">
        <v>13</v>
      </c>
      <c r="H11" s="98" t="s">
        <v>14</v>
      </c>
      <c r="I11" s="99" t="s">
        <v>45</v>
      </c>
      <c r="J11" s="100"/>
    </row>
    <row r="12" spans="1:10" x14ac:dyDescent="0.2">
      <c r="A12" s="101">
        <v>1</v>
      </c>
      <c r="B12" s="102">
        <v>1081321.2206256741</v>
      </c>
      <c r="C12" s="103">
        <v>4023652.8909763461</v>
      </c>
      <c r="D12" s="103">
        <v>2.6433990238966123E+27</v>
      </c>
      <c r="E12" s="103">
        <v>1609461156.3905385</v>
      </c>
      <c r="F12" s="103">
        <v>1609061156.3905385</v>
      </c>
      <c r="G12" s="104">
        <v>65</v>
      </c>
      <c r="H12" s="105">
        <v>1.0000000000000002E-3</v>
      </c>
      <c r="I12" s="106">
        <f>[1]sheet4!$I$7-[1]sheet4!$H$7</f>
        <v>1E+17</v>
      </c>
      <c r="J12" s="100"/>
    </row>
    <row r="13" spans="1:10" x14ac:dyDescent="0.2">
      <c r="A13" s="107">
        <v>2</v>
      </c>
      <c r="B13" s="108">
        <v>1080415.9292502999</v>
      </c>
      <c r="C13" s="109">
        <v>4031141.3562951009</v>
      </c>
      <c r="D13" s="109">
        <v>2.6461006677945401E+27</v>
      </c>
      <c r="E13" s="109">
        <v>1612456542.5180404</v>
      </c>
      <c r="F13" s="109">
        <v>1612056542.5180404</v>
      </c>
      <c r="G13" s="109">
        <v>70</v>
      </c>
      <c r="H13" s="110">
        <v>1.0000000000000003E-4</v>
      </c>
      <c r="I13" s="111">
        <f>[1]sheet4!$I$7-[1]sheet4!$H$7</f>
        <v>1E+17</v>
      </c>
      <c r="J13" s="100"/>
    </row>
    <row r="14" spans="1:10" x14ac:dyDescent="0.2">
      <c r="A14" s="107">
        <v>3</v>
      </c>
      <c r="B14" s="112">
        <v>1080334.2991779055</v>
      </c>
      <c r="C14" s="109">
        <v>4031817.58411862</v>
      </c>
      <c r="D14" s="109">
        <v>2.6463445218297238E+27</v>
      </c>
      <c r="E14" s="109">
        <v>1612727033.6474481</v>
      </c>
      <c r="F14" s="109">
        <v>1612327033.6474481</v>
      </c>
      <c r="G14" s="109">
        <v>75</v>
      </c>
      <c r="H14" s="110">
        <v>1.0000000000000006E-5</v>
      </c>
      <c r="I14" s="111">
        <f>[1]sheet4!$I$7-[1]sheet4!$H$7</f>
        <v>1E+17</v>
      </c>
      <c r="J14" s="100"/>
    </row>
    <row r="15" spans="1:10" x14ac:dyDescent="0.2">
      <c r="A15" s="107">
        <v>4</v>
      </c>
      <c r="B15" s="112">
        <v>1080326.9385988694</v>
      </c>
      <c r="C15" s="109">
        <v>4031878.5676302495</v>
      </c>
      <c r="D15" s="109">
        <v>2.646366512144255E+27</v>
      </c>
      <c r="E15" s="109">
        <v>1612751427.0520997</v>
      </c>
      <c r="F15" s="109">
        <v>1612351427.0520997</v>
      </c>
      <c r="G15" s="109">
        <v>80</v>
      </c>
      <c r="H15" s="110">
        <v>1.0000000000000006E-6</v>
      </c>
      <c r="I15" s="111">
        <f>[1]sheet4!$I$7-[1]sheet4!$H$7</f>
        <v>1E+17</v>
      </c>
      <c r="J15" s="100"/>
    </row>
    <row r="16" spans="1:10" x14ac:dyDescent="0.2">
      <c r="A16" s="107">
        <v>5</v>
      </c>
      <c r="B16" s="112">
        <v>1080326.3155484092</v>
      </c>
      <c r="C16" s="109">
        <v>4031883.7297590589</v>
      </c>
      <c r="D16" s="109">
        <v>2.646368373572263E+27</v>
      </c>
      <c r="E16" s="109">
        <v>1612753491.9036236</v>
      </c>
      <c r="F16" s="109">
        <v>1612353491.9036236</v>
      </c>
      <c r="G16" s="109">
        <v>84</v>
      </c>
      <c r="H16" s="110">
        <v>1.0000000000000006E-7</v>
      </c>
      <c r="I16" s="111">
        <f>[1]sheet4!$I$7-[1]sheet4!$H$7</f>
        <v>1E+17</v>
      </c>
      <c r="J16" s="100"/>
    </row>
    <row r="17" spans="1:10" x14ac:dyDescent="0.2">
      <c r="A17" s="107">
        <v>6</v>
      </c>
      <c r="B17" s="112">
        <v>1080326.2187154468</v>
      </c>
      <c r="C17" s="109">
        <v>4031884.5320452238</v>
      </c>
      <c r="D17" s="109">
        <v>2.6463686628710192E+27</v>
      </c>
      <c r="E17" s="109">
        <v>1612753812.8180895</v>
      </c>
      <c r="F17" s="109">
        <v>1612353812.8180895</v>
      </c>
      <c r="G17" s="109">
        <v>89</v>
      </c>
      <c r="H17" s="110">
        <v>1.0000000000000008E-8</v>
      </c>
      <c r="I17" s="111">
        <f>[1]sheet4!$I$7-[1]sheet4!$H$7</f>
        <v>1E+17</v>
      </c>
      <c r="J17" s="100"/>
    </row>
    <row r="18" spans="1:10" x14ac:dyDescent="0.2">
      <c r="A18" s="107">
        <v>7</v>
      </c>
      <c r="B18" s="112">
        <v>1080326.2099840241</v>
      </c>
      <c r="C18" s="109">
        <v>4031884.6043873304</v>
      </c>
      <c r="D18" s="109">
        <v>2.6463686889570728E+27</v>
      </c>
      <c r="E18" s="109">
        <v>1612753841.7549322</v>
      </c>
      <c r="F18" s="109">
        <v>1612353841.7549322</v>
      </c>
      <c r="G18" s="109">
        <v>94</v>
      </c>
      <c r="H18" s="110">
        <v>1.0000000000000009E-9</v>
      </c>
      <c r="I18" s="111">
        <f>[1]sheet4!$I$7-[1]sheet4!$H$7</f>
        <v>1E+17</v>
      </c>
      <c r="J18" s="100"/>
    </row>
    <row r="19" spans="1:10" x14ac:dyDescent="0.2">
      <c r="A19" s="107">
        <v>8</v>
      </c>
      <c r="B19" s="112">
        <v>1080326.2091967121</v>
      </c>
      <c r="C19" s="109">
        <v>4031884.610910411</v>
      </c>
      <c r="D19" s="109">
        <v>2.6463686913092487E+27</v>
      </c>
      <c r="E19" s="109">
        <v>1612753844.3641644</v>
      </c>
      <c r="F19" s="109">
        <v>1612353844.3641644</v>
      </c>
      <c r="G19" s="109">
        <v>99</v>
      </c>
      <c r="H19" s="110">
        <v>1.0000000000000009E-10</v>
      </c>
      <c r="I19" s="111">
        <f>[1]sheet4!$I$7-[1]sheet4!$H$7</f>
        <v>1E+17</v>
      </c>
      <c r="J19" s="100"/>
    </row>
    <row r="20" spans="1:10" x14ac:dyDescent="0.2">
      <c r="A20" s="107">
        <v>9</v>
      </c>
      <c r="B20" s="112">
        <v>1080326.2091257202</v>
      </c>
      <c r="C20" s="109">
        <v>4031884.6114986027</v>
      </c>
      <c r="D20" s="109">
        <v>2.6463686915213478E+27</v>
      </c>
      <c r="E20" s="109">
        <v>1612753844.5994411</v>
      </c>
      <c r="F20" s="109">
        <v>1612353844.5994411</v>
      </c>
      <c r="G20" s="109">
        <v>104</v>
      </c>
      <c r="H20" s="110">
        <v>1.0000000000000011E-11</v>
      </c>
      <c r="I20" s="111">
        <f>[1]sheet4!$I$7-[1]sheet4!$H$7</f>
        <v>1E+17</v>
      </c>
      <c r="J20" s="100"/>
    </row>
    <row r="21" spans="1:10" x14ac:dyDescent="0.2">
      <c r="A21" s="107">
        <v>10</v>
      </c>
      <c r="B21" s="112">
        <v>1080326.2091197111</v>
      </c>
      <c r="C21" s="109">
        <v>4031884.6115483786</v>
      </c>
      <c r="D21" s="109">
        <v>2.646368691539294E+27</v>
      </c>
      <c r="E21" s="109">
        <v>1612753844.6193514</v>
      </c>
      <c r="F21" s="109">
        <v>1612353844.6193514</v>
      </c>
      <c r="G21" s="109">
        <v>108</v>
      </c>
      <c r="H21" s="110">
        <v>1.0000000000000012E-12</v>
      </c>
      <c r="I21" s="111">
        <f>[1]sheet4!$I$7-[1]sheet4!$H$7</f>
        <v>1E+17</v>
      </c>
      <c r="J21" s="100"/>
    </row>
    <row r="22" spans="1:10" x14ac:dyDescent="0.2">
      <c r="A22" s="107">
        <v>11</v>
      </c>
      <c r="B22" s="112">
        <v>1080326.2091187772</v>
      </c>
      <c r="C22" s="109">
        <v>4031884.6115561281</v>
      </c>
      <c r="D22" s="109">
        <v>2.6463686915420917E+27</v>
      </c>
      <c r="E22" s="109">
        <v>1612753844.6224513</v>
      </c>
      <c r="F22" s="109">
        <v>1612353844.6224513</v>
      </c>
      <c r="G22" s="109">
        <v>113</v>
      </c>
      <c r="H22" s="110">
        <v>1.0000000000000014E-13</v>
      </c>
      <c r="I22" s="111">
        <f>[1]sheet4!$I$7-[1]sheet4!$H$7</f>
        <v>1E+17</v>
      </c>
      <c r="J22" s="100"/>
    </row>
    <row r="23" spans="1:10" x14ac:dyDescent="0.2">
      <c r="A23" s="107">
        <v>12</v>
      </c>
      <c r="B23" s="112">
        <v>1080326.2091186929</v>
      </c>
      <c r="C23" s="109">
        <v>4031884.6115568299</v>
      </c>
      <c r="D23" s="109">
        <v>2.6463686915423457E+27</v>
      </c>
      <c r="E23" s="109">
        <v>1612753844.6227319</v>
      </c>
      <c r="F23" s="109">
        <v>1612353844.6227319</v>
      </c>
      <c r="G23" s="109">
        <v>118</v>
      </c>
      <c r="H23" s="110">
        <v>1E-14</v>
      </c>
      <c r="I23" s="111">
        <f>[1]sheet4!$I$7-[1]sheet4!$H$7</f>
        <v>1E+17</v>
      </c>
      <c r="J23" s="100"/>
    </row>
    <row r="24" spans="1:10" ht="13.5" thickBot="1" x14ac:dyDescent="0.25">
      <c r="A24" s="93">
        <v>13</v>
      </c>
      <c r="B24" s="94">
        <v>1080326.2091186852</v>
      </c>
      <c r="C24" s="95">
        <v>4031884.6115568876</v>
      </c>
      <c r="D24" s="95">
        <v>2.6463686915423649E+27</v>
      </c>
      <c r="E24" s="95">
        <v>1612753844.6227551</v>
      </c>
      <c r="F24" s="95">
        <v>1612353844.6227551</v>
      </c>
      <c r="G24" s="95">
        <v>123</v>
      </c>
      <c r="H24" s="96">
        <v>1.0000000000000001E-15</v>
      </c>
      <c r="I24" s="97">
        <f>[1]sheet4!$I$7-[1]sheet4!$H$7</f>
        <v>1E+17</v>
      </c>
      <c r="J24" s="100"/>
    </row>
    <row r="25" spans="1:10" x14ac:dyDescent="0.2">
      <c r="A25" s="100"/>
      <c r="B25" s="100"/>
      <c r="C25" s="113"/>
      <c r="D25" s="100"/>
      <c r="E25" s="100"/>
      <c r="F25" s="100"/>
      <c r="G25" s="100"/>
      <c r="H25" s="100"/>
      <c r="I25" s="100"/>
      <c r="J25" s="100"/>
    </row>
    <row r="26" spans="1:10" x14ac:dyDescent="0.2">
      <c r="A26" s="6" t="s">
        <v>52</v>
      </c>
      <c r="B26" s="100"/>
      <c r="C26" s="100"/>
      <c r="D26" s="100"/>
      <c r="E26" s="100"/>
      <c r="F26" s="100"/>
      <c r="G26" s="100"/>
      <c r="H26" s="100"/>
      <c r="I26" s="100"/>
      <c r="J26" s="100"/>
    </row>
    <row r="27" spans="1:10" ht="51.75" thickBot="1" x14ac:dyDescent="0.25">
      <c r="A27" s="98" t="s">
        <v>4</v>
      </c>
      <c r="B27" s="98" t="s">
        <v>8</v>
      </c>
      <c r="C27" s="98" t="s">
        <v>11</v>
      </c>
      <c r="D27" s="98" t="s">
        <v>9</v>
      </c>
      <c r="E27" s="98" t="s">
        <v>12</v>
      </c>
      <c r="F27" s="98" t="s">
        <v>41</v>
      </c>
      <c r="G27" s="98" t="s">
        <v>13</v>
      </c>
      <c r="H27" s="98" t="s">
        <v>14</v>
      </c>
      <c r="I27" s="99" t="s">
        <v>45</v>
      </c>
      <c r="J27" s="100"/>
    </row>
    <row r="28" spans="1:10" x14ac:dyDescent="0.2">
      <c r="A28" s="101">
        <v>1</v>
      </c>
      <c r="B28" s="114">
        <v>1080326.2091186852</v>
      </c>
      <c r="C28" s="103">
        <v>4031884.6115568876</v>
      </c>
      <c r="D28" s="103">
        <v>2.6463686915423649E+27</v>
      </c>
      <c r="E28" s="103">
        <v>1612753844.6227551</v>
      </c>
      <c r="F28" s="103">
        <v>1612353844.6227551</v>
      </c>
      <c r="G28" s="103">
        <v>123</v>
      </c>
      <c r="H28" s="115">
        <v>1.0000000000000001E-15</v>
      </c>
      <c r="I28" s="119">
        <v>1E+17</v>
      </c>
      <c r="J28" s="100"/>
    </row>
    <row r="29" spans="1:10" x14ac:dyDescent="0.2">
      <c r="A29" s="107">
        <v>2</v>
      </c>
      <c r="B29" s="112">
        <v>1080326.2091186852</v>
      </c>
      <c r="C29" s="109">
        <v>4031884.6115568876</v>
      </c>
      <c r="D29" s="109">
        <v>2.6463686915423649E+27</v>
      </c>
      <c r="E29" s="109">
        <v>1612753844.6227551</v>
      </c>
      <c r="F29" s="109">
        <v>1612353844.6227551</v>
      </c>
      <c r="G29" s="109">
        <v>118</v>
      </c>
      <c r="H29" s="116">
        <v>1.0000000000000001E-15</v>
      </c>
      <c r="I29" s="120">
        <v>1E+16</v>
      </c>
      <c r="J29" s="100"/>
    </row>
    <row r="30" spans="1:10" x14ac:dyDescent="0.2">
      <c r="A30" s="107">
        <v>3</v>
      </c>
      <c r="B30" s="112">
        <v>1080326.2091186855</v>
      </c>
      <c r="C30" s="109">
        <v>4031884.6115568732</v>
      </c>
      <c r="D30" s="109">
        <v>2.6463686915423556E+27</v>
      </c>
      <c r="E30" s="109">
        <v>1612753844.6227493</v>
      </c>
      <c r="F30" s="109">
        <v>1612353844.6227493</v>
      </c>
      <c r="G30" s="109">
        <v>113</v>
      </c>
      <c r="H30" s="116">
        <v>1.0000000000000001E-15</v>
      </c>
      <c r="I30" s="120">
        <v>1000000000000000</v>
      </c>
      <c r="J30" s="100"/>
    </row>
    <row r="31" spans="1:10" x14ac:dyDescent="0.2">
      <c r="A31" s="107">
        <v>4</v>
      </c>
      <c r="B31" s="112">
        <v>1080326.2091186855</v>
      </c>
      <c r="C31" s="109">
        <v>4031884.6115568732</v>
      </c>
      <c r="D31" s="109">
        <v>2.6463686915423556E+27</v>
      </c>
      <c r="E31" s="109">
        <v>1612753844.6227493</v>
      </c>
      <c r="F31" s="109">
        <v>1612353844.6227493</v>
      </c>
      <c r="G31" s="109">
        <v>108</v>
      </c>
      <c r="H31" s="116">
        <v>1.0000000000000001E-15</v>
      </c>
      <c r="I31" s="120">
        <v>100000000000000</v>
      </c>
      <c r="J31" s="100"/>
    </row>
    <row r="32" spans="1:10" x14ac:dyDescent="0.2">
      <c r="A32" s="107">
        <v>5</v>
      </c>
      <c r="B32" s="112">
        <v>1080326.2091186852</v>
      </c>
      <c r="C32" s="109">
        <v>4031884.6115568876</v>
      </c>
      <c r="D32" s="109">
        <v>2.6463686915423649E+27</v>
      </c>
      <c r="E32" s="109">
        <v>1612753844.6227551</v>
      </c>
      <c r="F32" s="109">
        <v>1612353844.6227551</v>
      </c>
      <c r="G32" s="109">
        <v>104</v>
      </c>
      <c r="H32" s="116">
        <v>1.0000000000000001E-15</v>
      </c>
      <c r="I32" s="120">
        <v>10000000000000</v>
      </c>
      <c r="J32" s="100"/>
    </row>
    <row r="33" spans="1:10" x14ac:dyDescent="0.2">
      <c r="A33" s="107">
        <v>6</v>
      </c>
      <c r="B33" s="112">
        <v>1080326.2091186852</v>
      </c>
      <c r="C33" s="109">
        <v>4031884.6115568876</v>
      </c>
      <c r="D33" s="109">
        <v>2.6463686915423649E+27</v>
      </c>
      <c r="E33" s="109">
        <v>1612753844.6227551</v>
      </c>
      <c r="F33" s="109">
        <v>1612353844.6227551</v>
      </c>
      <c r="G33" s="109">
        <v>99</v>
      </c>
      <c r="H33" s="116">
        <v>1.0000000000000001E-15</v>
      </c>
      <c r="I33" s="120">
        <v>1000000000000</v>
      </c>
      <c r="J33" s="100"/>
    </row>
    <row r="34" spans="1:10" x14ac:dyDescent="0.2">
      <c r="A34" s="107">
        <v>7</v>
      </c>
      <c r="B34" s="112">
        <v>1080326.2091186855</v>
      </c>
      <c r="C34" s="109">
        <v>4031884.6115568732</v>
      </c>
      <c r="D34" s="109">
        <v>2.6463686915423556E+27</v>
      </c>
      <c r="E34" s="109">
        <v>1612753844.6227493</v>
      </c>
      <c r="F34" s="109">
        <v>1612353844.6227493</v>
      </c>
      <c r="G34" s="109">
        <v>94</v>
      </c>
      <c r="H34" s="116">
        <v>1.0000000000000001E-15</v>
      </c>
      <c r="I34" s="120">
        <v>100000000000</v>
      </c>
      <c r="J34" s="100"/>
    </row>
    <row r="35" spans="1:10" x14ac:dyDescent="0.2">
      <c r="A35" s="107">
        <v>8</v>
      </c>
      <c r="B35" s="112">
        <v>1080326.2091186855</v>
      </c>
      <c r="C35" s="109">
        <v>4031884.6115568732</v>
      </c>
      <c r="D35" s="109">
        <v>2.6463686915423556E+27</v>
      </c>
      <c r="E35" s="109">
        <v>1612753844.6227493</v>
      </c>
      <c r="F35" s="109">
        <v>1612353844.6227493</v>
      </c>
      <c r="G35" s="109">
        <v>89</v>
      </c>
      <c r="H35" s="116">
        <v>1.0000000000000001E-15</v>
      </c>
      <c r="I35" s="120">
        <v>10000000000</v>
      </c>
      <c r="J35" s="100"/>
    </row>
    <row r="36" spans="1:10" x14ac:dyDescent="0.2">
      <c r="A36" s="107">
        <v>9</v>
      </c>
      <c r="B36" s="112">
        <v>1080326.2091186852</v>
      </c>
      <c r="C36" s="109">
        <v>4031884.6115568876</v>
      </c>
      <c r="D36" s="109">
        <v>2.6463686915423649E+27</v>
      </c>
      <c r="E36" s="109">
        <v>1612753844.6227551</v>
      </c>
      <c r="F36" s="109">
        <v>1612353844.6227551</v>
      </c>
      <c r="G36" s="109">
        <v>85</v>
      </c>
      <c r="H36" s="116">
        <v>1.0000000000000001E-15</v>
      </c>
      <c r="I36" s="120">
        <v>1000000000</v>
      </c>
      <c r="J36" s="100"/>
    </row>
    <row r="37" spans="1:10" x14ac:dyDescent="0.2">
      <c r="A37" s="107">
        <v>10</v>
      </c>
      <c r="B37" s="112">
        <v>1080326.2091186852</v>
      </c>
      <c r="C37" s="109">
        <v>4031884.6115568876</v>
      </c>
      <c r="D37" s="109">
        <v>2.6463686915423649E+27</v>
      </c>
      <c r="E37" s="109">
        <v>1612753844.6227551</v>
      </c>
      <c r="F37" s="109">
        <v>1612353844.6227551</v>
      </c>
      <c r="G37" s="109">
        <v>80</v>
      </c>
      <c r="H37" s="116">
        <v>1.0000000000000001E-15</v>
      </c>
      <c r="I37" s="120">
        <v>100000000</v>
      </c>
      <c r="J37" s="100"/>
    </row>
    <row r="38" spans="1:10" x14ac:dyDescent="0.2">
      <c r="A38" s="107">
        <v>11</v>
      </c>
      <c r="B38" s="112">
        <v>1080326.2091186852</v>
      </c>
      <c r="C38" s="109">
        <v>4031884.6115568876</v>
      </c>
      <c r="D38" s="109">
        <v>2.6463686915423649E+27</v>
      </c>
      <c r="E38" s="109">
        <v>1612753844.6227551</v>
      </c>
      <c r="F38" s="109">
        <v>1612353844.6227551</v>
      </c>
      <c r="G38" s="109">
        <v>75</v>
      </c>
      <c r="H38" s="116">
        <v>1.0000000000000001E-15</v>
      </c>
      <c r="I38" s="120">
        <v>10000000</v>
      </c>
      <c r="J38" s="100"/>
    </row>
    <row r="39" spans="1:10" x14ac:dyDescent="0.2">
      <c r="A39" s="107">
        <v>12</v>
      </c>
      <c r="B39" s="112">
        <v>1080326.2091186855</v>
      </c>
      <c r="C39" s="109">
        <v>4031884.6115568732</v>
      </c>
      <c r="D39" s="109">
        <v>2.6463686915423556E+27</v>
      </c>
      <c r="E39" s="109">
        <v>1612753844.6227493</v>
      </c>
      <c r="F39" s="109">
        <v>1612353844.6227493</v>
      </c>
      <c r="G39" s="109">
        <v>70</v>
      </c>
      <c r="H39" s="116">
        <v>1.0000000000000001E-15</v>
      </c>
      <c r="I39" s="120">
        <v>1000000</v>
      </c>
      <c r="J39" s="100"/>
    </row>
    <row r="40" spans="1:10" x14ac:dyDescent="0.2">
      <c r="A40" s="107">
        <v>13</v>
      </c>
      <c r="B40" s="117">
        <v>1080326.2091186855</v>
      </c>
      <c r="C40" s="117">
        <v>4031884.6115568732</v>
      </c>
      <c r="D40" s="117">
        <v>2.6463686915423556E+27</v>
      </c>
      <c r="E40" s="117">
        <v>1612753844.6227493</v>
      </c>
      <c r="F40" s="117">
        <v>1612353844.6227493</v>
      </c>
      <c r="G40" s="117">
        <v>65</v>
      </c>
      <c r="H40" s="117">
        <v>1.0000000000000001E-15</v>
      </c>
      <c r="I40" s="121">
        <v>100000</v>
      </c>
      <c r="J40" s="100"/>
    </row>
    <row r="41" spans="1:10" x14ac:dyDescent="0.2">
      <c r="A41" s="107">
        <v>14</v>
      </c>
      <c r="B41" s="117">
        <v>1080326.2091186852</v>
      </c>
      <c r="C41" s="117">
        <v>4031884.6115568876</v>
      </c>
      <c r="D41" s="117">
        <v>2.6463686915423649E+27</v>
      </c>
      <c r="E41" s="117">
        <v>1612753844.6227551</v>
      </c>
      <c r="F41" s="117">
        <v>1612353844.6227551</v>
      </c>
      <c r="G41" s="117">
        <v>61</v>
      </c>
      <c r="H41" s="117">
        <v>1.0000000000000001E-15</v>
      </c>
      <c r="I41" s="121">
        <v>10000</v>
      </c>
      <c r="J41" s="100"/>
    </row>
    <row r="42" spans="1:10" x14ac:dyDescent="0.2">
      <c r="A42" s="107">
        <v>15</v>
      </c>
      <c r="B42" s="117">
        <v>1080326.2091186852</v>
      </c>
      <c r="C42" s="117">
        <v>4031884.6115568876</v>
      </c>
      <c r="D42" s="117">
        <v>2.6463686915423649E+27</v>
      </c>
      <c r="E42" s="117">
        <v>1612753844.6227551</v>
      </c>
      <c r="F42" s="117">
        <v>1612353844.6227551</v>
      </c>
      <c r="G42" s="117">
        <v>56</v>
      </c>
      <c r="H42" s="117">
        <v>1.0000000000000001E-15</v>
      </c>
      <c r="I42" s="121">
        <v>1000</v>
      </c>
      <c r="J42" s="100"/>
    </row>
    <row r="43" spans="1:10" x14ac:dyDescent="0.2">
      <c r="A43" s="107">
        <v>16</v>
      </c>
      <c r="B43" s="117">
        <v>1080326.2091186855</v>
      </c>
      <c r="C43" s="117">
        <v>4031884.6115568732</v>
      </c>
      <c r="D43" s="117">
        <v>2.6463686915423556E+27</v>
      </c>
      <c r="E43" s="117">
        <v>1612753844.6227493</v>
      </c>
      <c r="F43" s="117">
        <v>1612353844.6227493</v>
      </c>
      <c r="G43" s="117">
        <v>51</v>
      </c>
      <c r="H43" s="117">
        <v>1.0000000000000001E-15</v>
      </c>
      <c r="I43" s="121">
        <v>100</v>
      </c>
      <c r="J43" s="100"/>
    </row>
    <row r="44" spans="1:10" x14ac:dyDescent="0.2">
      <c r="A44" s="107">
        <v>17</v>
      </c>
      <c r="B44" s="117">
        <v>1080326.2091186855</v>
      </c>
      <c r="C44" s="117">
        <v>4031884.6115568732</v>
      </c>
      <c r="D44" s="117">
        <v>2.6463686915423556E+27</v>
      </c>
      <c r="E44" s="117">
        <v>1612753844.6227493</v>
      </c>
      <c r="F44" s="117">
        <v>1612353844.6227493</v>
      </c>
      <c r="G44" s="117">
        <v>46</v>
      </c>
      <c r="H44" s="117">
        <v>1.0000000000000001E-15</v>
      </c>
      <c r="I44" s="121">
        <v>10</v>
      </c>
      <c r="J44" s="100"/>
    </row>
    <row r="45" spans="1:10" ht="13.5" thickBot="1" x14ac:dyDescent="0.25">
      <c r="A45" s="93">
        <v>18</v>
      </c>
      <c r="B45" s="118">
        <v>1080326.2091186855</v>
      </c>
      <c r="C45" s="118">
        <v>4031884.6115568732</v>
      </c>
      <c r="D45" s="118">
        <v>2.6463686915423556E+27</v>
      </c>
      <c r="E45" s="118">
        <v>1612753844.6227493</v>
      </c>
      <c r="F45" s="118">
        <v>1612353844.6227493</v>
      </c>
      <c r="G45" s="118">
        <v>41</v>
      </c>
      <c r="H45" s="118">
        <v>1.0000000000000001E-15</v>
      </c>
      <c r="I45" s="122">
        <v>1</v>
      </c>
      <c r="J45" s="100"/>
    </row>
  </sheetData>
  <phoneticPr fontId="2"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№10</dc:title>
  <dc:subject>Методы оптимизации</dc:subject>
  <dc:creator>ten_IG</dc:creator>
  <dc:description>15.08.2007 The file has been updated for POVT-05.</dc:description>
  <cp:lastModifiedBy>Акмарал</cp:lastModifiedBy>
  <cp:lastPrinted>2002-04-17T10:32:42Z</cp:lastPrinted>
  <dcterms:created xsi:type="dcterms:W3CDTF">2002-01-25T11:06:38Z</dcterms:created>
  <dcterms:modified xsi:type="dcterms:W3CDTF">2023-12-17T20:00:49Z</dcterms:modified>
  <cp:category>ПОВТ-00, ФИТ-1-00</cp:category>
</cp:coreProperties>
</file>