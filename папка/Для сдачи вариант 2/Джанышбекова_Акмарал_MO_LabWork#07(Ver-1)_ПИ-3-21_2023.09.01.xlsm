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ЭтаКнига" defaultThemeVersion="124226"/>
  <mc:AlternateContent xmlns:mc="http://schemas.openxmlformats.org/markup-compatibility/2006">
    <mc:Choice Requires="x15">
      <x15ac:absPath xmlns:x15ac="http://schemas.microsoft.com/office/spreadsheetml/2010/11/ac" url="C:\Users\Акмарал\Desktop\3 КУРС ОСЕННИЙ СЕМЕСТР\МО\Лабораторные работы\Для сдачи вариант 2\"/>
    </mc:Choice>
  </mc:AlternateContent>
  <xr:revisionPtr revIDLastSave="0" documentId="13_ncr:1_{3A285DC3-47BA-466A-B1BB-CA2BA505F1A1}" xr6:coauthVersionLast="47" xr6:coauthVersionMax="47" xr10:uidLastSave="{00000000-0000-0000-0000-000000000000}"/>
  <bookViews>
    <workbookView xWindow="-120" yWindow="-120" windowWidth="20730" windowHeight="11160" activeTab="2" xr2:uid="{00000000-000D-0000-FFFF-FFFF00000000}"/>
  </bookViews>
  <sheets>
    <sheet name="sheet1" sheetId="1" r:id="rId1"/>
    <sheet name="sheet2" sheetId="2" r:id="rId2"/>
    <sheet name="sheet3" sheetId="3" r:id="rId3"/>
    <sheet name="sheet4" sheetId="4" r:id="rId4"/>
    <sheet name="sheet5" sheetId="5" r:id="rId5"/>
  </sheet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 i="3" l="1"/>
  <c r="M5" i="4" l="1"/>
  <c r="H76" i="5"/>
  <c r="H77" i="5" s="1"/>
  <c r="H78" i="5" s="1"/>
  <c r="H79" i="5" s="1"/>
  <c r="H80" i="5" s="1"/>
  <c r="H81" i="5" s="1"/>
  <c r="H82" i="5" s="1"/>
  <c r="H83" i="5" s="1"/>
  <c r="H84" i="5" s="1"/>
  <c r="H85" i="5" s="1"/>
  <c r="H86" i="5" s="1"/>
  <c r="H87" i="5" s="1"/>
  <c r="H88" i="5" s="1"/>
  <c r="K104" i="1"/>
  <c r="J104" i="1" s="1"/>
  <c r="I104" i="1"/>
  <c r="K103" i="1"/>
  <c r="J103" i="1" s="1"/>
  <c r="I103" i="1"/>
  <c r="K102" i="1"/>
  <c r="J102" i="1"/>
  <c r="I102" i="1"/>
  <c r="K101" i="1"/>
  <c r="J101" i="1" s="1"/>
  <c r="I101" i="1"/>
  <c r="K100" i="1"/>
  <c r="J100" i="1" s="1"/>
  <c r="I100" i="1"/>
  <c r="K99" i="1"/>
  <c r="J99" i="1" s="1"/>
  <c r="I99" i="1"/>
  <c r="K98" i="1"/>
  <c r="J98" i="1" s="1"/>
  <c r="I98" i="1"/>
  <c r="K97" i="1"/>
  <c r="J97" i="1" s="1"/>
  <c r="I97" i="1"/>
  <c r="K96" i="1"/>
  <c r="J96" i="1"/>
  <c r="I96" i="1"/>
  <c r="K95" i="1"/>
  <c r="J95" i="1" s="1"/>
  <c r="I95" i="1"/>
  <c r="K94" i="1"/>
  <c r="J94" i="1"/>
  <c r="I94" i="1"/>
  <c r="K93" i="1"/>
  <c r="J93" i="1" s="1"/>
  <c r="I93" i="1"/>
  <c r="K92" i="1"/>
  <c r="J92" i="1"/>
  <c r="I92" i="1"/>
  <c r="K91" i="1"/>
  <c r="J91" i="1" s="1"/>
  <c r="I91" i="1"/>
  <c r="K90" i="1"/>
  <c r="J90" i="1"/>
  <c r="I90" i="1"/>
  <c r="K89" i="1"/>
  <c r="J89" i="1" s="1"/>
  <c r="I89" i="1"/>
  <c r="K88" i="1"/>
  <c r="J88" i="1" s="1"/>
  <c r="I88" i="1"/>
  <c r="K87" i="1"/>
  <c r="J87" i="1" s="1"/>
  <c r="I87" i="1"/>
  <c r="K86" i="1"/>
  <c r="J86" i="1"/>
  <c r="I86" i="1"/>
  <c r="K85" i="1"/>
  <c r="J85" i="1" s="1"/>
  <c r="I85" i="1"/>
  <c r="K84" i="1"/>
  <c r="J84" i="1" s="1"/>
  <c r="I84" i="1"/>
  <c r="K83" i="1"/>
  <c r="J83" i="1" s="1"/>
  <c r="I83" i="1"/>
  <c r="K82" i="1"/>
  <c r="J82" i="1" s="1"/>
  <c r="I82" i="1"/>
  <c r="K81" i="1"/>
  <c r="J81" i="1" s="1"/>
  <c r="I81" i="1"/>
  <c r="K80" i="1"/>
  <c r="J80" i="1"/>
  <c r="I80" i="1"/>
  <c r="K79" i="1"/>
  <c r="J79" i="1" s="1"/>
  <c r="I79" i="1"/>
  <c r="K78" i="1"/>
  <c r="J78" i="1"/>
  <c r="I78" i="1"/>
  <c r="K77" i="1"/>
  <c r="J77" i="1" s="1"/>
  <c r="I77" i="1"/>
  <c r="K76" i="1"/>
  <c r="J76" i="1"/>
  <c r="I76" i="1"/>
  <c r="K75" i="1"/>
  <c r="J75" i="1" s="1"/>
  <c r="I75" i="1"/>
  <c r="K74" i="1"/>
  <c r="J74" i="1"/>
  <c r="I74" i="1"/>
  <c r="K73" i="1"/>
  <c r="J73" i="1" s="1"/>
  <c r="I73" i="1"/>
  <c r="K72" i="1"/>
  <c r="J72" i="1" s="1"/>
  <c r="I72" i="1"/>
  <c r="K71" i="1"/>
  <c r="J71" i="1" s="1"/>
  <c r="I71" i="1"/>
  <c r="K70" i="1"/>
  <c r="J70" i="1"/>
  <c r="I70" i="1"/>
  <c r="K69" i="1"/>
  <c r="J69" i="1" s="1"/>
  <c r="I69" i="1"/>
  <c r="K68" i="1"/>
  <c r="J68" i="1" s="1"/>
  <c r="I68" i="1"/>
  <c r="K67" i="1"/>
  <c r="J67" i="1" s="1"/>
  <c r="I67" i="1"/>
  <c r="K66" i="1"/>
  <c r="J66" i="1" s="1"/>
  <c r="I66" i="1"/>
  <c r="K65" i="1"/>
  <c r="J65" i="1" s="1"/>
  <c r="I65" i="1"/>
  <c r="K64" i="1"/>
  <c r="J64" i="1"/>
  <c r="I64" i="1"/>
  <c r="K63" i="1"/>
  <c r="J63" i="1" s="1"/>
  <c r="I63" i="1"/>
  <c r="K62" i="1"/>
  <c r="J62" i="1"/>
  <c r="I62" i="1"/>
  <c r="K61" i="1"/>
  <c r="J61" i="1" s="1"/>
  <c r="I61" i="1"/>
  <c r="K60" i="1"/>
  <c r="J60" i="1"/>
  <c r="I60" i="1"/>
  <c r="K59" i="1"/>
  <c r="J59" i="1" s="1"/>
  <c r="I59" i="1"/>
  <c r="K58" i="1"/>
  <c r="J58" i="1"/>
  <c r="I58" i="1"/>
  <c r="K57" i="1"/>
  <c r="J57" i="1" s="1"/>
  <c r="I57" i="1"/>
  <c r="K56" i="1"/>
  <c r="J56" i="1"/>
  <c r="I56" i="1"/>
  <c r="K55" i="1"/>
  <c r="J55" i="1" s="1"/>
  <c r="I55" i="1"/>
  <c r="K54" i="1"/>
  <c r="J54" i="1"/>
  <c r="I54" i="1"/>
  <c r="K53" i="1"/>
  <c r="J53" i="1" s="1"/>
  <c r="I53" i="1"/>
  <c r="K52" i="1"/>
  <c r="J52" i="1" s="1"/>
  <c r="I52" i="1"/>
  <c r="K51" i="1"/>
  <c r="J51" i="1" s="1"/>
  <c r="I51" i="1"/>
  <c r="K50" i="1"/>
  <c r="J50" i="1" s="1"/>
  <c r="I50" i="1"/>
  <c r="K49" i="1"/>
  <c r="J49" i="1" s="1"/>
  <c r="I49" i="1"/>
  <c r="K48" i="1"/>
  <c r="J48" i="1"/>
  <c r="I48" i="1"/>
  <c r="K47" i="1"/>
  <c r="J47" i="1" s="1"/>
  <c r="I47" i="1"/>
  <c r="K46" i="1"/>
  <c r="J46" i="1"/>
  <c r="I46" i="1"/>
  <c r="K45" i="1"/>
  <c r="J45" i="1" s="1"/>
  <c r="I45" i="1"/>
  <c r="K44" i="1"/>
  <c r="J44" i="1"/>
  <c r="I44" i="1"/>
  <c r="K43" i="1"/>
  <c r="J43" i="1" s="1"/>
  <c r="I43" i="1"/>
  <c r="K42" i="1"/>
  <c r="J42" i="1"/>
  <c r="I42" i="1"/>
  <c r="K41" i="1"/>
  <c r="J41" i="1" s="1"/>
  <c r="I41" i="1"/>
  <c r="K40" i="1"/>
  <c r="J40" i="1"/>
  <c r="I40" i="1"/>
  <c r="K39" i="1"/>
  <c r="J39" i="1" s="1"/>
  <c r="I39" i="1"/>
  <c r="K38" i="1"/>
  <c r="J38" i="1"/>
  <c r="I38" i="1"/>
  <c r="K37" i="1"/>
  <c r="J37" i="1" s="1"/>
  <c r="I37" i="1"/>
  <c r="K36" i="1"/>
  <c r="J36" i="1" s="1"/>
  <c r="I36" i="1"/>
  <c r="K35" i="1"/>
  <c r="J35" i="1" s="1"/>
  <c r="I35" i="1"/>
  <c r="K34" i="1"/>
  <c r="J34" i="1" s="1"/>
  <c r="I34" i="1"/>
  <c r="K33" i="1"/>
  <c r="J33" i="1" s="1"/>
  <c r="I33" i="1"/>
  <c r="K32" i="1"/>
  <c r="J32" i="1"/>
  <c r="I32" i="1"/>
  <c r="K31" i="1"/>
  <c r="J31" i="1" s="1"/>
  <c r="I31" i="1"/>
  <c r="K30" i="1"/>
  <c r="J30" i="1"/>
  <c r="I30" i="1"/>
  <c r="K29" i="1"/>
  <c r="J29" i="1" s="1"/>
  <c r="I29" i="1"/>
  <c r="K28" i="1"/>
  <c r="J28" i="1"/>
  <c r="I28" i="1"/>
  <c r="K27" i="1"/>
  <c r="J27" i="1" s="1"/>
  <c r="I27" i="1"/>
  <c r="K26" i="1"/>
  <c r="J26" i="1"/>
  <c r="I26" i="1"/>
  <c r="K25" i="1"/>
  <c r="J25" i="1" s="1"/>
  <c r="I25" i="1"/>
  <c r="K24" i="1"/>
  <c r="J24" i="1"/>
  <c r="I24" i="1"/>
  <c r="K23" i="1"/>
  <c r="J23" i="1" s="1"/>
  <c r="I23" i="1"/>
  <c r="K22" i="1"/>
  <c r="J22" i="1"/>
  <c r="I22" i="1"/>
  <c r="K21" i="1"/>
  <c r="J21" i="1" s="1"/>
  <c r="I21" i="1"/>
  <c r="K20" i="1"/>
  <c r="J20" i="1" s="1"/>
  <c r="I20" i="1"/>
  <c r="K19" i="1"/>
  <c r="J19" i="1" s="1"/>
  <c r="I19" i="1"/>
  <c r="K18" i="1"/>
  <c r="J18" i="1" s="1"/>
  <c r="I18" i="1"/>
  <c r="K17" i="1"/>
  <c r="J17" i="1" s="1"/>
  <c r="I17" i="1"/>
  <c r="K16" i="1"/>
  <c r="J16" i="1"/>
  <c r="I16" i="1"/>
  <c r="K15" i="1"/>
  <c r="J15" i="1" s="1"/>
  <c r="I15" i="1"/>
  <c r="K14" i="1"/>
  <c r="J14" i="1"/>
  <c r="I14" i="1"/>
  <c r="K13" i="1"/>
  <c r="J13" i="1" s="1"/>
  <c r="I13" i="1"/>
  <c r="K12" i="1"/>
  <c r="J12" i="1"/>
  <c r="I12" i="1"/>
  <c r="K11" i="1"/>
  <c r="J11" i="1" s="1"/>
  <c r="I11" i="1"/>
  <c r="K10" i="1"/>
  <c r="J10" i="1"/>
  <c r="I10" i="1"/>
  <c r="K9" i="1"/>
  <c r="J9" i="1" s="1"/>
  <c r="I9" i="1"/>
  <c r="K8" i="1"/>
  <c r="J8" i="1"/>
  <c r="I8" i="1"/>
  <c r="K7" i="1"/>
  <c r="J7" i="1" s="1"/>
  <c r="I7" i="1"/>
  <c r="K6" i="1"/>
  <c r="J6" i="1"/>
  <c r="I6" i="1"/>
  <c r="K5" i="1"/>
  <c r="J5" i="1" s="1"/>
  <c r="I5" i="1"/>
  <c r="K4" i="1"/>
  <c r="J4" i="1" s="1"/>
  <c r="I4" i="1"/>
  <c r="H75" i="5" l="1"/>
  <c r="H74" i="5" s="1"/>
  <c r="H89" i="5"/>
  <c r="H90" i="5" s="1"/>
  <c r="H91" i="5" s="1"/>
  <c r="H92" i="5" s="1"/>
  <c r="H93" i="5" s="1"/>
  <c r="H94" i="5" s="1"/>
  <c r="H95" i="5" s="1"/>
  <c r="H96" i="5" s="1"/>
  <c r="H97" i="5" s="1"/>
  <c r="H98" i="5" s="1"/>
  <c r="H99" i="5" s="1"/>
  <c r="H100" i="5" s="1"/>
  <c r="H101" i="5" s="1"/>
  <c r="H102" i="5" s="1"/>
  <c r="H103" i="5" s="1"/>
  <c r="H104" i="5" s="1"/>
  <c r="H105" i="5" s="1"/>
  <c r="H106" i="5" s="1"/>
  <c r="H107" i="5" s="1"/>
  <c r="H108" i="5" s="1"/>
  <c r="H109" i="5" s="1"/>
  <c r="H110" i="5" s="1"/>
  <c r="H111" i="5" s="1"/>
  <c r="H112" i="5" s="1"/>
  <c r="H113" i="5" s="1"/>
  <c r="H114" i="5" s="1"/>
  <c r="H115" i="5" s="1"/>
  <c r="H116" i="5" s="1"/>
  <c r="H117" i="5" s="1"/>
  <c r="H118" i="5" s="1"/>
  <c r="H119" i="5" s="1"/>
  <c r="H120" i="5" s="1"/>
  <c r="H121" i="5" s="1"/>
  <c r="H122" i="5" s="1"/>
  <c r="H123" i="5" s="1"/>
  <c r="H124" i="5" s="1"/>
  <c r="H125" i="5" s="1"/>
  <c r="H126" i="5" s="1"/>
  <c r="J22" i="5"/>
  <c r="I22" i="5"/>
  <c r="J21" i="5"/>
  <c r="I21" i="5"/>
  <c r="J20" i="5"/>
  <c r="I20" i="5"/>
  <c r="J19" i="5"/>
  <c r="I19" i="5"/>
  <c r="J18" i="5"/>
  <c r="I18" i="5"/>
  <c r="J17" i="5"/>
  <c r="I17" i="5"/>
  <c r="J16" i="5"/>
  <c r="I16" i="5"/>
  <c r="J15" i="5"/>
  <c r="I15" i="5"/>
  <c r="J14" i="5"/>
  <c r="I14" i="5"/>
  <c r="J13" i="5"/>
  <c r="I13" i="5"/>
  <c r="J12" i="5"/>
  <c r="I12" i="5"/>
  <c r="H73" i="5" l="1"/>
  <c r="I75" i="5"/>
  <c r="I76" i="5"/>
  <c r="H72" i="5" l="1"/>
  <c r="I74" i="5"/>
  <c r="H71" i="5" l="1"/>
  <c r="I73" i="5"/>
  <c r="H70" i="5" l="1"/>
  <c r="I72" i="5"/>
  <c r="H69" i="5" l="1"/>
  <c r="I71" i="5"/>
  <c r="H68" i="5" l="1"/>
  <c r="I70" i="5"/>
  <c r="H67" i="5" l="1"/>
  <c r="I69" i="5"/>
  <c r="H66" i="5" l="1"/>
  <c r="I68" i="5"/>
  <c r="H65" i="5" l="1"/>
  <c r="I67" i="5"/>
  <c r="H64" i="5" l="1"/>
  <c r="I66" i="5"/>
  <c r="H63" i="5" l="1"/>
  <c r="I65" i="5"/>
  <c r="H62" i="5" l="1"/>
  <c r="I64" i="5"/>
  <c r="H61" i="5" l="1"/>
  <c r="I63" i="5"/>
  <c r="I88" i="5"/>
  <c r="I87" i="5" l="1"/>
  <c r="H60" i="5"/>
  <c r="I89" i="5"/>
  <c r="I62" i="5"/>
  <c r="I86" i="5" l="1"/>
  <c r="H59" i="5"/>
  <c r="I61" i="5"/>
  <c r="I90" i="5"/>
  <c r="H58" i="5" l="1"/>
  <c r="I85" i="5"/>
  <c r="I91" i="5"/>
  <c r="I60" i="5"/>
  <c r="H57" i="5" l="1"/>
  <c r="I84" i="5"/>
  <c r="I59" i="5"/>
  <c r="I92" i="5"/>
  <c r="I83" i="5" l="1"/>
  <c r="H56" i="5"/>
  <c r="I58" i="5"/>
  <c r="I93" i="5"/>
  <c r="I82" i="5" l="1"/>
  <c r="H55" i="5"/>
  <c r="I57" i="5"/>
  <c r="I94" i="5"/>
  <c r="H54" i="5" l="1"/>
  <c r="I81" i="5"/>
  <c r="I56" i="5"/>
  <c r="I95" i="5"/>
  <c r="H53" i="5" l="1"/>
  <c r="I80" i="5"/>
  <c r="I55" i="5"/>
  <c r="I96" i="5"/>
  <c r="I79" i="5" l="1"/>
  <c r="H52" i="5"/>
  <c r="H51" i="5" s="1"/>
  <c r="H50" i="5" s="1"/>
  <c r="I97" i="5"/>
  <c r="I54" i="5"/>
  <c r="H49" i="5" l="1"/>
  <c r="I49" i="5" s="1"/>
  <c r="I50" i="5"/>
  <c r="I78" i="5"/>
  <c r="I98" i="5"/>
  <c r="I53" i="5"/>
  <c r="I77" i="5" l="1"/>
  <c r="I52" i="5"/>
  <c r="I99" i="5"/>
  <c r="I100" i="5" l="1"/>
  <c r="I51" i="5"/>
  <c r="I101" i="5" l="1"/>
  <c r="H48" i="5" l="1"/>
  <c r="I102" i="5"/>
  <c r="I103" i="5" l="1"/>
  <c r="H47" i="5"/>
  <c r="I48" i="5"/>
  <c r="I104" i="5" l="1"/>
  <c r="I47" i="5"/>
  <c r="H46" i="5"/>
  <c r="I105" i="5" l="1"/>
  <c r="I46" i="5"/>
  <c r="H45" i="5"/>
  <c r="I45" i="5" l="1"/>
  <c r="H44" i="5"/>
  <c r="I106" i="5"/>
  <c r="I107" i="5" l="1"/>
  <c r="H43" i="5"/>
  <c r="I44" i="5"/>
  <c r="I108" i="5" l="1"/>
  <c r="H42" i="5"/>
  <c r="I43" i="5"/>
  <c r="I42" i="5" l="1"/>
  <c r="H41" i="5"/>
  <c r="I109" i="5"/>
  <c r="H40" i="5" l="1"/>
  <c r="I41" i="5"/>
  <c r="I110" i="5"/>
  <c r="I111" i="5" l="1"/>
  <c r="H39" i="5"/>
  <c r="I40" i="5"/>
  <c r="I112" i="5" l="1"/>
  <c r="I39" i="5"/>
  <c r="H38" i="5"/>
  <c r="I113" i="5" l="1"/>
  <c r="I38" i="5"/>
  <c r="H37" i="5"/>
  <c r="I37" i="5" l="1"/>
  <c r="H36" i="5"/>
  <c r="I114" i="5"/>
  <c r="H35" i="5" l="1"/>
  <c r="I36" i="5"/>
  <c r="I115" i="5"/>
  <c r="I116" i="5" l="1"/>
  <c r="I35" i="5"/>
  <c r="H34" i="5"/>
  <c r="I34" i="5" l="1"/>
  <c r="H33" i="5"/>
  <c r="I117" i="5"/>
  <c r="H32" i="5" l="1"/>
  <c r="I33" i="5"/>
  <c r="I118" i="5"/>
  <c r="I119" i="5" l="1"/>
  <c r="H31" i="5"/>
  <c r="I32" i="5"/>
  <c r="I120" i="5" l="1"/>
  <c r="I31" i="5"/>
  <c r="H30" i="5"/>
  <c r="I121" i="5" l="1"/>
  <c r="I30" i="5"/>
  <c r="H29" i="5"/>
  <c r="I29" i="5" l="1"/>
  <c r="H28" i="5"/>
  <c r="H27" i="5" s="1"/>
  <c r="I25" i="5" s="1"/>
  <c r="I122" i="5"/>
  <c r="J5" i="4" l="1"/>
  <c r="I28" i="5"/>
  <c r="I123" i="5"/>
  <c r="I124" i="5" l="1"/>
  <c r="I27" i="5"/>
  <c r="I126" i="5" l="1"/>
  <c r="I125" i="5"/>
  <c r="E7" i="3" l="1"/>
  <c r="I5" i="4"/>
  <c r="D5" i="2"/>
  <c r="E5" i="2"/>
  <c r="C5" i="2"/>
  <c r="F5" i="2" l="1"/>
  <c r="G5" i="2" s="1"/>
  <c r="B6" i="2" s="1"/>
  <c r="H6" i="2" s="1"/>
  <c r="E6" i="2"/>
  <c r="D6" i="2" l="1"/>
  <c r="F6" i="2" s="1"/>
  <c r="G6" i="2" s="1"/>
  <c r="B7" i="2" s="1"/>
  <c r="C6" i="2"/>
  <c r="H7" i="2" l="1"/>
  <c r="D7" i="2"/>
  <c r="E7" i="2"/>
  <c r="C7" i="2"/>
  <c r="F7" i="2" l="1"/>
  <c r="G7" i="2" s="1"/>
  <c r="B8" i="2" s="1"/>
  <c r="H8" i="2" l="1"/>
  <c r="D8" i="2"/>
  <c r="C8" i="2"/>
  <c r="E8" i="2"/>
  <c r="F8" i="2" l="1"/>
  <c r="G8" i="2" s="1"/>
  <c r="B9" i="2" s="1"/>
  <c r="E9" i="2" l="1"/>
  <c r="H9" i="2"/>
  <c r="C9" i="2"/>
  <c r="D9" i="2"/>
  <c r="F9" i="2" s="1"/>
  <c r="G9" i="2" s="1"/>
  <c r="B10" i="2" s="1"/>
  <c r="E10" i="2" l="1"/>
  <c r="H10" i="2"/>
  <c r="C10" i="2"/>
  <c r="D10" i="2"/>
  <c r="F10" i="2" l="1"/>
  <c r="G10" i="2" s="1"/>
  <c r="B11" i="2" s="1"/>
  <c r="D11" i="2" l="1"/>
  <c r="E11" i="2"/>
  <c r="H11" i="2"/>
  <c r="C11" i="2"/>
  <c r="F11" i="2" l="1"/>
  <c r="G11" i="2" s="1"/>
  <c r="B12" i="2" s="1"/>
  <c r="H12" i="2" l="1"/>
  <c r="C12" i="2"/>
  <c r="D12" i="2"/>
  <c r="E12" i="2"/>
  <c r="F12" i="2" l="1"/>
  <c r="G12" i="2" s="1"/>
  <c r="B13" i="2" s="1"/>
  <c r="D13" i="2" l="1"/>
  <c r="H13" i="2"/>
  <c r="C13" i="2"/>
  <c r="E13" i="2"/>
  <c r="F13" i="2" l="1"/>
  <c r="G13" i="2" s="1"/>
  <c r="B14" i="2" s="1"/>
  <c r="E14" i="2" l="1"/>
  <c r="H14" i="2"/>
  <c r="C14" i="2"/>
  <c r="D14" i="2"/>
  <c r="F14" i="2" l="1"/>
  <c r="G14" i="2" s="1"/>
  <c r="B15" i="2" s="1"/>
  <c r="H15" i="2"/>
  <c r="D15" i="2"/>
  <c r="E15" i="2"/>
  <c r="C15" i="2"/>
  <c r="F15" i="2" l="1"/>
  <c r="G15" i="2" s="1"/>
  <c r="B16" i="2" s="1"/>
  <c r="H16" i="2"/>
  <c r="D16" i="2"/>
  <c r="C16" i="2"/>
  <c r="E16" i="2"/>
  <c r="F16" i="2" l="1"/>
  <c r="G16" i="2" s="1"/>
  <c r="B17" i="2" s="1"/>
  <c r="C17" i="2" l="1"/>
  <c r="H17" i="2"/>
  <c r="D17" i="2"/>
  <c r="E17" i="2"/>
  <c r="F17" i="2" l="1"/>
  <c r="G17" i="2" s="1"/>
  <c r="B18" i="2" s="1"/>
  <c r="E18" i="2" l="1"/>
  <c r="H18" i="2"/>
  <c r="C18" i="2"/>
  <c r="D18" i="2"/>
  <c r="F18" i="2" s="1"/>
  <c r="G18" i="2" s="1"/>
  <c r="B19" i="2" s="1"/>
  <c r="D19" i="2" l="1"/>
  <c r="E19" i="2"/>
  <c r="H19" i="2"/>
  <c r="C19" i="2"/>
  <c r="F19" i="2" l="1"/>
  <c r="G19" i="2" s="1"/>
  <c r="B20" i="2" s="1"/>
  <c r="H20" i="2"/>
  <c r="C20" i="2"/>
  <c r="D20" i="2"/>
  <c r="E20" i="2"/>
  <c r="F20" i="2" l="1"/>
  <c r="G20" i="2" s="1"/>
  <c r="B21" i="2" s="1"/>
  <c r="H21" i="2" l="1"/>
  <c r="E21" i="2"/>
  <c r="C21" i="2"/>
  <c r="D21" i="2"/>
  <c r="F21" i="2" s="1"/>
  <c r="G21" i="2" s="1"/>
  <c r="B7" i="3"/>
  <c r="C7" i="3"/>
  <c r="G7" i="3"/>
  <c r="I7" i="3"/>
  <c r="J7" i="3"/>
  <c r="B8" i="3"/>
  <c r="C8" i="3"/>
  <c r="D8" i="3"/>
  <c r="I8" i="3"/>
  <c r="B9" i="3"/>
  <c r="C9" i="3"/>
  <c r="D9" i="3"/>
  <c r="I9" i="3"/>
  <c r="B10" i="3"/>
  <c r="C10" i="3"/>
  <c r="D10" i="3"/>
  <c r="I10" i="3"/>
  <c r="B11" i="3"/>
  <c r="C11" i="3"/>
  <c r="D11" i="3"/>
  <c r="I11" i="3"/>
  <c r="B12" i="3"/>
  <c r="C12" i="3"/>
  <c r="D12" i="3"/>
  <c r="I12" i="3"/>
  <c r="B13" i="3"/>
  <c r="C13" i="3"/>
  <c r="D13" i="3"/>
  <c r="I13" i="3"/>
  <c r="B14" i="3"/>
  <c r="C14" i="3"/>
  <c r="D14" i="3"/>
  <c r="I14" i="3"/>
  <c r="B15" i="3"/>
  <c r="C15" i="3"/>
  <c r="D15" i="3"/>
  <c r="I15" i="3"/>
  <c r="B16" i="3"/>
  <c r="C16" i="3"/>
  <c r="D16" i="3"/>
  <c r="I16" i="3"/>
  <c r="B17" i="3"/>
  <c r="C17" i="3"/>
  <c r="D17" i="3"/>
  <c r="I17" i="3"/>
  <c r="B18" i="3"/>
  <c r="C18" i="3"/>
  <c r="D18" i="3"/>
  <c r="I18" i="3"/>
  <c r="B19" i="3"/>
  <c r="C19" i="3"/>
  <c r="D19" i="3"/>
  <c r="I19" i="3"/>
  <c r="B20" i="3"/>
  <c r="C20" i="3"/>
  <c r="D20" i="3"/>
  <c r="I20" i="3"/>
  <c r="B21" i="3"/>
  <c r="C21" i="3"/>
  <c r="D21" i="3"/>
  <c r="I21" i="3"/>
  <c r="B22" i="3"/>
  <c r="C22" i="3"/>
  <c r="D22" i="3"/>
  <c r="I22" i="3"/>
  <c r="B23" i="3"/>
  <c r="C23" i="3"/>
  <c r="D23" i="3"/>
  <c r="I23" i="3"/>
  <c r="B24" i="3"/>
  <c r="C24" i="3"/>
  <c r="D24" i="3"/>
  <c r="I24" i="3"/>
  <c r="B25" i="3"/>
  <c r="C25" i="3"/>
  <c r="D25" i="3"/>
  <c r="I25" i="3"/>
  <c r="B26" i="3"/>
  <c r="C26" i="3"/>
  <c r="D26" i="3"/>
  <c r="I26" i="3"/>
  <c r="I27" i="3"/>
  <c r="K5" i="4"/>
  <c r="L5" i="4"/>
  <c r="A7" i="4"/>
  <c r="B7" i="4"/>
  <c r="C7" i="4"/>
  <c r="D7" i="4"/>
  <c r="E7" i="4"/>
  <c r="F7" i="4"/>
  <c r="G7" i="4"/>
  <c r="H7" i="4"/>
  <c r="I7" i="4"/>
  <c r="J7" i="4"/>
  <c r="K7" i="4"/>
  <c r="L7" i="4"/>
  <c r="M7" i="4"/>
  <c r="N7" i="4"/>
  <c r="I11"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Ten</author>
    <author>ten_IG</author>
    <author>Admin</author>
  </authors>
  <commentList>
    <comment ref="A3" authorId="0" shapeId="0" xr:uid="{00000000-0006-0000-0000-000001000000}">
      <text>
        <r>
          <rPr>
            <b/>
            <sz val="8"/>
            <color indexed="81"/>
            <rFont val="Tahoma"/>
            <family val="2"/>
            <charset val="204"/>
          </rPr>
          <t>Ten:</t>
        </r>
        <r>
          <rPr>
            <sz val="8"/>
            <color indexed="81"/>
            <rFont val="Tahoma"/>
            <family val="2"/>
            <charset val="204"/>
          </rPr>
          <t xml:space="preserve">
Version of Task
Вариант задания</t>
        </r>
      </text>
    </comment>
    <comment ref="D3" authorId="1" shapeId="0" xr:uid="{00000000-0006-0000-0000-000002000000}">
      <text>
        <r>
          <rPr>
            <b/>
            <sz val="8"/>
            <color indexed="81"/>
            <rFont val="Tahoma"/>
            <family val="2"/>
            <charset val="204"/>
          </rPr>
          <t>ten_IG:</t>
        </r>
        <r>
          <rPr>
            <sz val="8"/>
            <color indexed="81"/>
            <rFont val="Tahoma"/>
            <family val="2"/>
            <charset val="204"/>
          </rPr>
          <t xml:space="preserve">
Себестоимость//Начальная точка поиска в лаб №1, 2//
Cost//Original Searching Point in Labs no.1, 2</t>
        </r>
      </text>
    </comment>
    <comment ref="F3" authorId="1" shapeId="0" xr:uid="{00000000-0006-0000-0000-000003000000}">
      <text>
        <r>
          <rPr>
            <b/>
            <sz val="8"/>
            <color indexed="81"/>
            <rFont val="Tahoma"/>
            <family val="2"/>
            <charset val="204"/>
          </rPr>
          <t>ten_IG:</t>
        </r>
        <r>
          <rPr>
            <sz val="8"/>
            <color indexed="81"/>
            <rFont val="Tahoma"/>
            <family val="2"/>
            <charset val="204"/>
          </rPr>
          <t xml:space="preserve">
Допустимая погрешность решения задачи//
Tolerance of the solution</t>
        </r>
      </text>
    </comment>
    <comment ref="G3" authorId="1" shapeId="0" xr:uid="{00000000-0006-0000-0000-000004000000}">
      <text>
        <r>
          <rPr>
            <b/>
            <sz val="8"/>
            <color indexed="81"/>
            <rFont val="Tahoma"/>
            <family val="2"/>
            <charset val="204"/>
          </rPr>
          <t>ten_IG:</t>
        </r>
        <r>
          <rPr>
            <sz val="8"/>
            <color indexed="81"/>
            <rFont val="Tahoma"/>
            <family val="2"/>
            <charset val="204"/>
          </rPr>
          <t xml:space="preserve">
Предельная величина кредита//
The Limit of Credit value</t>
        </r>
      </text>
    </comment>
    <comment ref="I3" authorId="1" shapeId="0" xr:uid="{00000000-0006-0000-0000-000005000000}">
      <text>
        <r>
          <rPr>
            <b/>
            <sz val="8"/>
            <color indexed="81"/>
            <rFont val="Tahoma"/>
            <family val="2"/>
            <charset val="204"/>
          </rPr>
          <t>ten_IG:</t>
        </r>
        <r>
          <rPr>
            <sz val="8"/>
            <color indexed="81"/>
            <rFont val="Tahoma"/>
            <family val="2"/>
            <charset val="204"/>
          </rPr>
          <t xml:space="preserve">
Solution of odds labs // Решение для нечетных задач</t>
        </r>
      </text>
    </comment>
    <comment ref="J3" authorId="1" shapeId="0" xr:uid="{00000000-0006-0000-0000-000006000000}">
      <text>
        <r>
          <rPr>
            <b/>
            <sz val="8"/>
            <color indexed="81"/>
            <rFont val="Tahoma"/>
            <family val="2"/>
            <charset val="204"/>
          </rPr>
          <t>ten_IG:</t>
        </r>
        <r>
          <rPr>
            <sz val="8"/>
            <color indexed="81"/>
            <rFont val="Tahoma"/>
            <family val="2"/>
            <charset val="204"/>
          </rPr>
          <t xml:space="preserve">
Solution of even labs // Решение для четных задач</t>
        </r>
      </text>
    </comment>
    <comment ref="H48" authorId="2" shapeId="0" xr:uid="{00000000-0006-0000-0000-000007000000}">
      <text>
        <r>
          <rPr>
            <b/>
            <sz val="9"/>
            <color indexed="81"/>
            <rFont val="Tahoma"/>
            <family val="2"/>
            <charset val="204"/>
          </rPr>
          <t>Admin:</t>
        </r>
        <r>
          <rPr>
            <sz val="9"/>
            <color indexed="81"/>
            <rFont val="Tahoma"/>
            <family val="2"/>
            <charset val="204"/>
          </rPr>
          <t xml:space="preserve">
The list of students is appeared at 2021.09.20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ten_IG</author>
    <author>Admin</author>
    <author>Акмарал</author>
  </authors>
  <commentList>
    <comment ref="H6" authorId="0" shapeId="0" xr:uid="{00000000-0006-0000-0200-000001000000}">
      <text>
        <r>
          <rPr>
            <b/>
            <sz val="8"/>
            <color indexed="81"/>
            <rFont val="Tahoma"/>
            <family val="2"/>
            <charset val="204"/>
          </rPr>
          <t>ten_IG:</t>
        </r>
        <r>
          <rPr>
            <sz val="8"/>
            <color indexed="81"/>
            <rFont val="Tahoma"/>
            <family val="2"/>
            <charset val="204"/>
          </rPr>
          <t xml:space="preserve">
Значение Sigma, которое будет выделено синим цветом это есть искомое значение параметра Sigma, необходимое для определения скорости сходимости метода оптимизации!!!</t>
        </r>
      </text>
    </comment>
    <comment ref="D38" authorId="1" shapeId="0" xr:uid="{00000000-0006-0000-0200-000002000000}">
      <text>
        <r>
          <rPr>
            <b/>
            <sz val="9"/>
            <color indexed="81"/>
            <rFont val="Tahoma"/>
            <family val="2"/>
            <charset val="204"/>
          </rPr>
          <t>Admin:</t>
        </r>
        <r>
          <rPr>
            <sz val="9"/>
            <color indexed="81"/>
            <rFont val="Tahoma"/>
            <family val="2"/>
            <charset val="204"/>
          </rPr>
          <t xml:space="preserve">
Tip for student: 
The SIGMA value is determined by starting the program on the SHEET4 (The Program implementing the Newton's Method) for given Initial Price value. Try to provide the situation when the Program implementing the Newton's Method performs more than 20 iterations if it's possible.</t>
        </r>
      </text>
    </comment>
    <comment ref="D88" authorId="2" shapeId="0" xr:uid="{EC9B1962-71FB-4108-8826-D98F4E9FC3C4}">
      <text>
        <r>
          <rPr>
            <b/>
            <sz val="9"/>
            <color indexed="81"/>
            <rFont val="Tahoma"/>
            <family val="2"/>
            <charset val="204"/>
          </rPr>
          <t>Акмарал:
   1)</t>
        </r>
        <r>
          <rPr>
            <sz val="9"/>
            <color indexed="81"/>
            <rFont val="Tahoma"/>
            <family val="2"/>
            <charset val="204"/>
          </rPr>
          <t xml:space="preserve"> Рассматривая  Рисунок 7.3 График Зависимость Скорости сходимости Метода Ньтона от Начальной цены, видно, что от </t>
        </r>
        <r>
          <rPr>
            <b/>
            <sz val="9"/>
            <color indexed="81"/>
            <rFont val="Tahoma"/>
            <family val="2"/>
            <charset val="204"/>
          </rPr>
          <t>начальной цены = [1,00]</t>
        </r>
        <r>
          <rPr>
            <sz val="9"/>
            <color indexed="81"/>
            <rFont val="Tahoma"/>
            <family val="2"/>
            <charset val="204"/>
          </rPr>
          <t xml:space="preserve">, где Sigma = 1,15 по мере приближения (увеличения) начальной цены к </t>
        </r>
        <r>
          <rPr>
            <b/>
            <sz val="9"/>
            <color indexed="81"/>
            <rFont val="Tahoma"/>
            <family val="2"/>
            <charset val="204"/>
          </rPr>
          <t>оптимальной цене = 8980,37</t>
        </r>
        <r>
          <rPr>
            <sz val="9"/>
            <color indexed="81"/>
            <rFont val="Tahoma"/>
            <family val="2"/>
            <charset val="204"/>
          </rPr>
          <t xml:space="preserve"> значение Sigma</t>
        </r>
        <r>
          <rPr>
            <b/>
            <sz val="9"/>
            <color indexed="81"/>
            <rFont val="Tahoma"/>
            <family val="2"/>
            <charset val="204"/>
          </rPr>
          <t xml:space="preserve"> приближается к 2</t>
        </r>
        <r>
          <rPr>
            <sz val="9"/>
            <color indexed="81"/>
            <rFont val="Tahoma"/>
            <family val="2"/>
            <charset val="204"/>
          </rPr>
          <t xml:space="preserve">.
   </t>
        </r>
        <r>
          <rPr>
            <b/>
            <sz val="9"/>
            <color indexed="81"/>
            <rFont val="Tahoma"/>
            <family val="2"/>
            <charset val="204"/>
          </rPr>
          <t xml:space="preserve">2) </t>
        </r>
        <r>
          <rPr>
            <sz val="9"/>
            <color indexed="81"/>
            <rFont val="Tahoma"/>
            <family val="2"/>
            <charset val="204"/>
          </rPr>
          <t xml:space="preserve">На Рисунке 7.3 График Зависимость Скорости сходимости Метода Ньтона от Начальной цены, видно что от </t>
        </r>
        <r>
          <rPr>
            <b/>
            <sz val="9"/>
            <color indexed="81"/>
            <rFont val="Tahoma"/>
            <family val="2"/>
            <charset val="204"/>
          </rPr>
          <t>начальной</t>
        </r>
        <r>
          <rPr>
            <sz val="9"/>
            <color indexed="81"/>
            <rFont val="Tahoma"/>
            <family val="2"/>
            <charset val="204"/>
          </rPr>
          <t xml:space="preserve"> </t>
        </r>
        <r>
          <rPr>
            <b/>
            <sz val="9"/>
            <color indexed="81"/>
            <rFont val="Tahoma"/>
            <family val="2"/>
            <charset val="204"/>
          </rPr>
          <t>цены = [10812,89]</t>
        </r>
        <r>
          <rPr>
            <sz val="9"/>
            <color indexed="81"/>
            <rFont val="Tahoma"/>
            <family val="2"/>
            <charset val="204"/>
          </rPr>
          <t xml:space="preserve">,где Sigma = 1 по мере приближения (уменьшения) этой цены к </t>
        </r>
        <r>
          <rPr>
            <b/>
            <sz val="9"/>
            <color indexed="81"/>
            <rFont val="Tahoma"/>
            <family val="2"/>
            <charset val="204"/>
          </rPr>
          <t>оптимальной цене = 8980,37</t>
        </r>
        <r>
          <rPr>
            <sz val="9"/>
            <color indexed="81"/>
            <rFont val="Tahoma"/>
            <family val="2"/>
            <charset val="204"/>
          </rPr>
          <t xml:space="preserve"> значение Sigma </t>
        </r>
        <r>
          <rPr>
            <b/>
            <sz val="9"/>
            <color indexed="81"/>
            <rFont val="Tahoma"/>
            <family val="2"/>
            <charset val="204"/>
          </rPr>
          <t>приближается к 2</t>
        </r>
        <r>
          <rPr>
            <sz val="9"/>
            <color indexed="81"/>
            <rFont val="Tahoma"/>
            <family val="2"/>
            <charset val="204"/>
          </rPr>
          <t xml:space="preserve">.
   </t>
        </r>
        <r>
          <rPr>
            <b/>
            <sz val="9"/>
            <color indexed="81"/>
            <rFont val="Tahoma"/>
            <family val="2"/>
            <charset val="204"/>
          </rPr>
          <t xml:space="preserve">3) </t>
        </r>
        <r>
          <rPr>
            <sz val="9"/>
            <color indexed="81"/>
            <rFont val="Tahoma"/>
            <family val="2"/>
            <charset val="204"/>
          </rPr>
          <t xml:space="preserve">Поскольку в </t>
        </r>
        <r>
          <rPr>
            <b/>
            <sz val="9"/>
            <color indexed="81"/>
            <rFont val="Tahoma"/>
            <family val="2"/>
            <charset val="204"/>
          </rPr>
          <t>окрестностях оптимальной цены 8980,37 Sigma=2</t>
        </r>
        <r>
          <rPr>
            <sz val="9"/>
            <color indexed="81"/>
            <rFont val="Tahoma"/>
            <family val="2"/>
            <charset val="204"/>
          </rPr>
          <t xml:space="preserve">, из этого можно сделать вывод, что при начальной цене равной </t>
        </r>
        <r>
          <rPr>
            <b/>
            <sz val="9"/>
            <color indexed="81"/>
            <rFont val="Tahoma"/>
            <family val="2"/>
            <charset val="204"/>
          </rPr>
          <t>оптимальной цене Sigma =2</t>
        </r>
        <r>
          <rPr>
            <sz val="9"/>
            <color indexed="81"/>
            <rFont val="Tahoma"/>
            <family val="2"/>
            <charset val="204"/>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ten_IG</author>
  </authors>
  <commentList>
    <comment ref="L4" authorId="0" shapeId="0" xr:uid="{00000000-0006-0000-0300-000001000000}">
      <text>
        <r>
          <rPr>
            <b/>
            <sz val="8"/>
            <color indexed="81"/>
            <rFont val="Tahoma"/>
            <family val="2"/>
            <charset val="204"/>
          </rPr>
          <t>ten_IG:</t>
        </r>
        <r>
          <rPr>
            <sz val="8"/>
            <color indexed="81"/>
            <rFont val="Tahoma"/>
            <family val="2"/>
            <charset val="204"/>
          </rPr>
          <t xml:space="preserve">
Целевая функция для задачи №2 имеет вид:
f(x)=[alfa*(x-C)/x^(2*D)].
Производная от целевой функции имеет вид:
f '(x)=[alfa*(x-2*D*x+2*C*D)/x^(2*D+1)]
</t>
        </r>
      </text>
    </comment>
    <comment ref="A5" authorId="0" shapeId="0" xr:uid="{00000000-0006-0000-0300-000002000000}">
      <text>
        <r>
          <rPr>
            <b/>
            <sz val="8"/>
            <color indexed="81"/>
            <rFont val="Tahoma"/>
            <family val="2"/>
            <charset val="204"/>
          </rPr>
          <t>ten_IG:</t>
        </r>
        <r>
          <rPr>
            <sz val="8"/>
            <color indexed="81"/>
            <rFont val="Tahoma"/>
            <family val="2"/>
            <charset val="204"/>
          </rPr>
          <t xml:space="preserve">
Copyrigt©2002 by Joseph Gregorievitch Ten.
This Program is property of the J.Gr. Ten.
All right reserved. Design in the Kyrgyz Republic.
Except as permitted under the Kyrgyz Republic Copyright Act of 1998, no part of this Program may be reproduced or distributed in any form or by any means, or stored in a database or retrieval system, without the prior written permission of the author Joseph Gregorievitch Ten.
Phone: +996 (3312) 42-38-53
E-mail: tenig@hotmail.com, tenig@mail.ru
http://www.ktu-pocs.elcat.kg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tenig</author>
    <author>Иосиф</author>
  </authors>
  <commentList>
    <comment ref="H25" authorId="0" shapeId="0" xr:uid="{00000000-0006-0000-0400-000001000000}">
      <text>
        <r>
          <rPr>
            <b/>
            <sz val="9"/>
            <color indexed="81"/>
            <rFont val="Tahoma"/>
            <family val="2"/>
            <charset val="204"/>
          </rPr>
          <t>tenig:</t>
        </r>
        <r>
          <rPr>
            <sz val="9"/>
            <color indexed="81"/>
            <rFont val="Tahoma"/>
            <family val="2"/>
            <charset val="204"/>
          </rPr>
          <t xml:space="preserve">
Here Increment of step size of Initial Price list is. </t>
        </r>
      </text>
    </comment>
    <comment ref="I25" authorId="0" shapeId="0" xr:uid="{00000000-0006-0000-0400-000002000000}">
      <text>
        <r>
          <rPr>
            <b/>
            <sz val="9"/>
            <color indexed="81"/>
            <rFont val="Tahoma"/>
            <family val="2"/>
            <charset val="204"/>
          </rPr>
          <t>tenig:</t>
        </r>
        <r>
          <rPr>
            <sz val="9"/>
            <color indexed="81"/>
            <rFont val="Tahoma"/>
            <family val="2"/>
            <charset val="204"/>
          </rPr>
          <t xml:space="preserve">
Размер области сходимости</t>
        </r>
      </text>
    </comment>
    <comment ref="H76" authorId="1" shapeId="0" xr:uid="{00000000-0006-0000-0400-000003000000}">
      <text>
        <r>
          <rPr>
            <b/>
            <sz val="9"/>
            <color indexed="81"/>
            <rFont val="Tahoma"/>
            <family val="2"/>
            <charset val="204"/>
          </rPr>
          <t>Иосиф:</t>
        </r>
        <r>
          <rPr>
            <sz val="9"/>
            <color indexed="81"/>
            <rFont val="Tahoma"/>
            <family val="2"/>
            <charset val="204"/>
          </rPr>
          <t xml:space="preserve">
In this cell must be referenced to the Sheet1's cell where solution of your assigned task is.</t>
        </r>
      </text>
    </comment>
  </commentList>
</comments>
</file>

<file path=xl/sharedStrings.xml><?xml version="1.0" encoding="utf-8"?>
<sst xmlns="http://schemas.openxmlformats.org/spreadsheetml/2006/main" count="123" uniqueCount="109">
  <si>
    <t>Параметры модели рынка для лабораторных работ по Методам оптимизации</t>
  </si>
  <si>
    <t>№</t>
  </si>
  <si>
    <t>Это параметры для примера</t>
  </si>
  <si>
    <t>Цена</t>
  </si>
  <si>
    <t>Спрос</t>
  </si>
  <si>
    <t>Прибыль</t>
  </si>
  <si>
    <t>N</t>
  </si>
  <si>
    <t xml:space="preserve"> Оптимальная Прибыль</t>
  </si>
  <si>
    <t>Начальная цена</t>
  </si>
  <si>
    <t>Оптимальный Спрос</t>
  </si>
  <si>
    <t>Оптимальный Кредит</t>
  </si>
  <si>
    <t>Задача №1: Найти максимум прибыли путем варьирования ценой рынка без учета ограничения на величину кредита.</t>
  </si>
  <si>
    <t>Количество итераций</t>
  </si>
  <si>
    <t>Допустимая Погрешность</t>
  </si>
  <si>
    <t>Оптимальная цена</t>
  </si>
  <si>
    <t>Состояние процесса поиска</t>
  </si>
  <si>
    <t>Кредит</t>
  </si>
  <si>
    <t>Выбор начальной цены</t>
  </si>
  <si>
    <t>В исходное состояние</t>
  </si>
  <si>
    <t>Пуск программы</t>
  </si>
  <si>
    <t>Номер итерации</t>
  </si>
  <si>
    <r>
      <t xml:space="preserve">Лабораторная работа №_7: Исследование </t>
    </r>
    <r>
      <rPr>
        <b/>
        <i/>
        <sz val="14"/>
        <rFont val="Arial Cyr"/>
        <charset val="204"/>
      </rPr>
      <t>метода Ньютона</t>
    </r>
    <r>
      <rPr>
        <b/>
        <sz val="10"/>
        <rFont val="Arial Cyr"/>
        <charset val="204"/>
      </rPr>
      <t xml:space="preserve"> при решении задачи №1.</t>
    </r>
  </si>
  <si>
    <t>F'(x)</t>
  </si>
  <si>
    <t>F''(x)</t>
  </si>
  <si>
    <t>alfa</t>
  </si>
  <si>
    <t>Прибыль=Спрос*(Цена-Себестоимость); Спрос=A/(Цена+Цена*B)^(2*D); Кредит=Себестоимость*Спрос; F'(x)-Первая производная прибыли от цены; F''(x)-Вторая производная  прибыли от цены.</t>
  </si>
  <si>
    <t>Программа, реализующая метод  Ньютона</t>
  </si>
  <si>
    <t>Выбор допустимой погрешности</t>
  </si>
  <si>
    <t>F'(x)/F''(x)</t>
  </si>
  <si>
    <t>RelError</t>
  </si>
  <si>
    <t>f(x)=[exp(x)-2-x]^2; f'(x)=2*[exp(x)-2-x]*[exp(x)-1]; f''(x)=2*[exp(x)-1]^2+2*[exp(x)-2-x]*exp(x).</t>
  </si>
  <si>
    <t>k</t>
  </si>
  <si>
    <r>
      <t>x</t>
    </r>
    <r>
      <rPr>
        <b/>
        <vertAlign val="superscript"/>
        <sz val="10"/>
        <rFont val="Arial"/>
        <family val="2"/>
        <charset val="204"/>
      </rPr>
      <t>k</t>
    </r>
  </si>
  <si>
    <r>
      <t>f(x</t>
    </r>
    <r>
      <rPr>
        <b/>
        <vertAlign val="superscript"/>
        <sz val="10"/>
        <rFont val="Arial"/>
        <family val="2"/>
        <charset val="204"/>
      </rPr>
      <t>k</t>
    </r>
    <r>
      <rPr>
        <b/>
        <sz val="10"/>
        <rFont val="Arial"/>
        <family val="2"/>
        <charset val="204"/>
      </rPr>
      <t>)</t>
    </r>
  </si>
  <si>
    <r>
      <t>f'(x</t>
    </r>
    <r>
      <rPr>
        <b/>
        <vertAlign val="superscript"/>
        <sz val="10"/>
        <rFont val="Arial"/>
        <family val="2"/>
        <charset val="204"/>
      </rPr>
      <t>k</t>
    </r>
    <r>
      <rPr>
        <b/>
        <sz val="10"/>
        <rFont val="Arial"/>
        <family val="2"/>
        <charset val="204"/>
      </rPr>
      <t>)</t>
    </r>
  </si>
  <si>
    <r>
      <t>f''(x</t>
    </r>
    <r>
      <rPr>
        <b/>
        <vertAlign val="superscript"/>
        <sz val="10"/>
        <rFont val="Arial"/>
        <family val="2"/>
        <charset val="204"/>
      </rPr>
      <t>k</t>
    </r>
    <r>
      <rPr>
        <b/>
        <sz val="10"/>
        <rFont val="Arial"/>
        <family val="2"/>
        <charset val="204"/>
      </rPr>
      <t>)</t>
    </r>
  </si>
  <si>
    <r>
      <t>f'(x</t>
    </r>
    <r>
      <rPr>
        <b/>
        <vertAlign val="superscript"/>
        <sz val="10"/>
        <rFont val="Arial"/>
        <family val="2"/>
        <charset val="204"/>
      </rPr>
      <t>k</t>
    </r>
    <r>
      <rPr>
        <b/>
        <sz val="10"/>
        <rFont val="Arial"/>
        <family val="2"/>
        <charset val="204"/>
      </rPr>
      <t>)/f''(x</t>
    </r>
    <r>
      <rPr>
        <b/>
        <vertAlign val="superscript"/>
        <sz val="10"/>
        <rFont val="Arial"/>
        <family val="2"/>
        <charset val="204"/>
      </rPr>
      <t>k</t>
    </r>
    <r>
      <rPr>
        <b/>
        <sz val="10"/>
        <rFont val="Arial"/>
        <family val="2"/>
        <charset val="204"/>
      </rPr>
      <t>)</t>
    </r>
  </si>
  <si>
    <r>
      <t>h</t>
    </r>
    <r>
      <rPr>
        <b/>
        <vertAlign val="superscript"/>
        <sz val="10"/>
        <rFont val="Arial"/>
        <family val="2"/>
        <charset val="204"/>
      </rPr>
      <t>k</t>
    </r>
  </si>
  <si>
    <r>
      <t>x</t>
    </r>
    <r>
      <rPr>
        <b/>
        <vertAlign val="superscript"/>
        <sz val="10"/>
        <rFont val="Arial"/>
        <family val="2"/>
        <charset val="204"/>
      </rPr>
      <t>k</t>
    </r>
    <r>
      <rPr>
        <b/>
        <sz val="10"/>
        <rFont val="Arial"/>
        <family val="2"/>
        <charset val="204"/>
      </rPr>
      <t>-x</t>
    </r>
    <r>
      <rPr>
        <b/>
        <vertAlign val="superscript"/>
        <sz val="10"/>
        <rFont val="Arial"/>
        <family val="2"/>
        <charset val="204"/>
      </rPr>
      <t>k-1</t>
    </r>
  </si>
  <si>
    <t>Упражнение 7.1 Используйте Алгоритм Ньютона и найдите локальный минимум заданной целевой функции.</t>
  </si>
  <si>
    <t>f '(x)=</t>
  </si>
  <si>
    <t>Цена(k)</t>
  </si>
  <si>
    <r>
      <t>Ошибка: e</t>
    </r>
    <r>
      <rPr>
        <b/>
        <vertAlign val="subscript"/>
        <sz val="10"/>
        <rFont val="Arial Cyr"/>
        <charset val="204"/>
      </rPr>
      <t>k</t>
    </r>
    <r>
      <rPr>
        <b/>
        <sz val="10"/>
        <rFont val="Arial Cyr"/>
        <charset val="204"/>
      </rPr>
      <t>=abs(X</t>
    </r>
    <r>
      <rPr>
        <b/>
        <vertAlign val="superscript"/>
        <sz val="10"/>
        <rFont val="Arial Cyr"/>
        <charset val="204"/>
      </rPr>
      <t>*</t>
    </r>
    <r>
      <rPr>
        <b/>
        <sz val="10"/>
        <rFont val="Arial Cyr"/>
        <charset val="204"/>
      </rPr>
      <t>-X</t>
    </r>
    <r>
      <rPr>
        <b/>
        <vertAlign val="subscript"/>
        <sz val="10"/>
        <rFont val="Arial Cyr"/>
        <charset val="204"/>
      </rPr>
      <t>k</t>
    </r>
    <r>
      <rPr>
        <b/>
        <sz val="10"/>
        <rFont val="Arial Cyr"/>
        <charset val="204"/>
      </rPr>
      <t>)</t>
    </r>
  </si>
  <si>
    <r>
      <t>A</t>
    </r>
    <r>
      <rPr>
        <b/>
        <vertAlign val="subscript"/>
        <sz val="10"/>
        <rFont val="Arial Cyr"/>
        <charset val="204"/>
      </rPr>
      <t>k</t>
    </r>
    <r>
      <rPr>
        <b/>
        <sz val="10"/>
        <rFont val="Arial Cyr"/>
        <charset val="204"/>
      </rPr>
      <t>=e</t>
    </r>
    <r>
      <rPr>
        <b/>
        <vertAlign val="subscript"/>
        <sz val="10"/>
        <rFont val="Arial Cyr"/>
        <charset val="204"/>
      </rPr>
      <t>k+1</t>
    </r>
    <r>
      <rPr>
        <b/>
        <sz val="10"/>
        <rFont val="Arial Cyr"/>
        <charset val="204"/>
      </rPr>
      <t>/(e</t>
    </r>
    <r>
      <rPr>
        <b/>
        <vertAlign val="subscript"/>
        <sz val="10"/>
        <rFont val="Arial Cyr"/>
        <charset val="204"/>
      </rPr>
      <t>k</t>
    </r>
    <r>
      <rPr>
        <b/>
        <sz val="10"/>
        <rFont val="Arial Cyr"/>
        <charset val="204"/>
      </rPr>
      <t>)^sigma=abs(X</t>
    </r>
    <r>
      <rPr>
        <b/>
        <vertAlign val="superscript"/>
        <sz val="10"/>
        <rFont val="Arial Cyr"/>
        <charset val="204"/>
      </rPr>
      <t>*</t>
    </r>
    <r>
      <rPr>
        <b/>
        <sz val="10"/>
        <rFont val="Arial Cyr"/>
        <charset val="204"/>
      </rPr>
      <t>-X</t>
    </r>
    <r>
      <rPr>
        <b/>
        <vertAlign val="subscript"/>
        <sz val="10"/>
        <rFont val="Arial Cyr"/>
        <charset val="204"/>
      </rPr>
      <t>k+1</t>
    </r>
    <r>
      <rPr>
        <b/>
        <sz val="10"/>
        <rFont val="Arial Cyr"/>
        <charset val="204"/>
      </rPr>
      <t>)/abs(X*-Xk)^sigma</t>
    </r>
  </si>
  <si>
    <t>sigma</t>
  </si>
  <si>
    <t>X*</t>
  </si>
  <si>
    <t>List of sigma</t>
  </si>
  <si>
    <t>Таблица 7.3 Исходные данные для определения скорости сходимости Метода Ньютона</t>
  </si>
  <si>
    <t>Таблица 7.4. Определение скорости сходимости Метода Ньютона</t>
  </si>
  <si>
    <r>
      <t>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</si>
  <si>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r>
      <t>MIN[abs((A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</si>
  <si>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Parametr_A</t>
  </si>
  <si>
    <t>Parametr_B</t>
  </si>
  <si>
    <t>Cost</t>
  </si>
  <si>
    <t>Parametr_D</t>
  </si>
  <si>
    <t>Tolerance</t>
  </si>
  <si>
    <r>
      <t>X*</t>
    </r>
    <r>
      <rPr>
        <vertAlign val="subscript"/>
        <sz val="8"/>
        <rFont val="Arial Cyr"/>
        <charset val="204"/>
      </rPr>
      <t>1</t>
    </r>
  </si>
  <si>
    <r>
      <t>X*</t>
    </r>
    <r>
      <rPr>
        <vertAlign val="subscript"/>
        <sz val="8"/>
        <rFont val="Arial Cyr"/>
        <charset val="204"/>
      </rPr>
      <t>2</t>
    </r>
  </si>
  <si>
    <t>Limit of Credit Value</t>
  </si>
  <si>
    <t>SIGMA</t>
  </si>
  <si>
    <t>Начальная цена — Оптимальная цена</t>
  </si>
  <si>
    <t>Laboratory works #_7: Investigate as Tolerance and Initial Price have an influence on solution of Problem #1</t>
  </si>
  <si>
    <r>
      <t xml:space="preserve">Problem definition #_1: Find the maximum of Profit by the Price of market </t>
    </r>
    <r>
      <rPr>
        <b/>
        <sz val="10"/>
        <rFont val="Arial"/>
        <family val="2"/>
        <charset val="204"/>
      </rPr>
      <t>without</t>
    </r>
    <r>
      <rPr>
        <sz val="10"/>
        <rFont val="Arial"/>
        <family val="2"/>
        <charset val="204"/>
      </rPr>
      <t xml:space="preserve"> Constraints.</t>
    </r>
  </si>
  <si>
    <t>Profit=Demand*(Price-Cost);  Demand=A/(Price+Price*B)^(2*D); Credit=Cost*Demand.</t>
  </si>
  <si>
    <t>Calculation of the Convergence Rate of the Newton's Method</t>
  </si>
  <si>
    <r>
      <t xml:space="preserve">Laboratory works #_7: Investigate the </t>
    </r>
    <r>
      <rPr>
        <b/>
        <sz val="12"/>
        <rFont val="Arial"/>
        <family val="2"/>
        <charset val="204"/>
      </rPr>
      <t>Newton's</t>
    </r>
    <r>
      <rPr>
        <b/>
        <sz val="14"/>
        <rFont val="Arial"/>
        <family val="2"/>
        <charset val="204"/>
      </rPr>
      <t xml:space="preserve"> method</t>
    </r>
    <r>
      <rPr>
        <sz val="10"/>
        <rFont val="Arial Cyr"/>
        <charset val="204"/>
      </rPr>
      <t xml:space="preserve"> to solution of Problem #1</t>
    </r>
  </si>
  <si>
    <r>
      <t xml:space="preserve">Problem definition#_1: Find the maximum of Profit by the Price of market </t>
    </r>
    <r>
      <rPr>
        <b/>
        <sz val="10"/>
        <rFont val="Arial"/>
        <family val="2"/>
        <charset val="204"/>
      </rPr>
      <t>without</t>
    </r>
    <r>
      <rPr>
        <sz val="10"/>
        <rFont val="Arial Cyr"/>
        <charset val="204"/>
      </rPr>
      <t xml:space="preserve"> Constraints.</t>
    </r>
  </si>
  <si>
    <t>Profit=Demand*(Price-Cost);  Demand=A/(Price+Price*B)^(2*D); Credit=Cost*Demand, F'(x)-First derivative of f(x); F''(x)- Second derivative of f(x).</t>
  </si>
  <si>
    <t>The tasks on laboratory work:</t>
  </si>
  <si>
    <t>(i) Investigatethe  the Dependence: Amount of Iterations with respect to Tolerance and Initial Goods Price.</t>
  </si>
  <si>
    <t>(ii) These dependences as functions must be plotted in Figure 7.1 and Figure 7.2 respectively.</t>
  </si>
  <si>
    <t>(iii) Determine the Speed of Convergence "SC" and Asymptotic Error Constant "A".</t>
  </si>
  <si>
    <t>Table 7.1: Dependence the Amount of Iterations with Respect to Tolerance</t>
  </si>
  <si>
    <t>Optimum Price</t>
  </si>
  <si>
    <t>Optimum Demand</t>
  </si>
  <si>
    <t>Optimum Profit</t>
  </si>
  <si>
    <t>Optimum Credit</t>
  </si>
  <si>
    <t>Amount of iteration</t>
  </si>
  <si>
    <t>Initial Price</t>
  </si>
  <si>
    <t>Initial Price – Optimum Price</t>
  </si>
  <si>
    <t>Log of Tolerance</t>
  </si>
  <si>
    <t>Table 7.2: Dependence the Amount of Iterations with Respect to Initial approximation (or Step Size).</t>
  </si>
  <si>
    <t>Таблица 7.5  Зависимость величины параметра SIGMA итерационного алгоритма от Начальной цены</t>
  </si>
  <si>
    <r>
      <t xml:space="preserve">Таблица 1: Распределение </t>
    </r>
    <r>
      <rPr>
        <b/>
        <i/>
        <sz val="10"/>
        <color rgb="FFFF0000"/>
        <rFont val="Arial Cyr"/>
        <charset val="204"/>
      </rPr>
      <t>Параметров моделей рынка Оптимизационных Задач</t>
    </r>
    <r>
      <rPr>
        <sz val="10"/>
        <rFont val="Arial Cyr"/>
        <charset val="204"/>
      </rPr>
      <t xml:space="preserve"> между студентами группы ПИ-3-21.</t>
    </r>
  </si>
  <si>
    <t>Фамилия, Имя студента группы ПИ-3-21</t>
  </si>
  <si>
    <t>Алтынбекова Нурзат</t>
  </si>
  <si>
    <t>Джанышбекова Акмарал</t>
  </si>
  <si>
    <t xml:space="preserve">Закиров Мустафа </t>
  </si>
  <si>
    <t>Копжашаров Азамат</t>
  </si>
  <si>
    <t>Русланов Адылбек</t>
  </si>
  <si>
    <t>Сагыналиев Таалайбек</t>
  </si>
  <si>
    <t>Урманбетов Султан</t>
  </si>
  <si>
    <t>Алтынбеков Даурен</t>
  </si>
  <si>
    <t>Ашымова Айжан</t>
  </si>
  <si>
    <t>Жайлообек уулу Улукбек</t>
  </si>
  <si>
    <t>Икрамов Абдул-Муним</t>
  </si>
  <si>
    <t>Муктарали уулу Дастан</t>
  </si>
  <si>
    <t>Пак Ксения</t>
  </si>
  <si>
    <t>Саркобенов Арстан</t>
  </si>
  <si>
    <t>Табылдиева Шоола</t>
  </si>
  <si>
    <t>Молдобеков Ислам</t>
  </si>
  <si>
    <t>Касенов Канагат</t>
  </si>
  <si>
    <t>Элеманов Бекжан</t>
  </si>
  <si>
    <t>Токторбаев Актан</t>
  </si>
  <si>
    <t>Аденов Дастан</t>
  </si>
  <si>
    <t>Каскеев Рамазан</t>
  </si>
  <si>
    <t>Конушбаев Султан</t>
  </si>
  <si>
    <t>Если начальная цена больше чем 10446,3846755501,то  метод Ньютона  решение не находит.</t>
  </si>
  <si>
    <t>Вывод: Скорость сходимости метода Ньютона SIGMA зависит от того, насколько далеко находится значение начальное  
цены X0 относительно оптимальной цены X*. Поскольку метод Ньютона имеет максимальную скорость сходимости SIGMA=2, что является скоростью квадратичной 
сходимости, следовательно, метод Ньютона имеет квадратичную скорость сходимости, поскольку ряд  {abs(X*–Xk+1)/abs(X*–Xk)^sigma} сходится  к ПРЕДЕЛЬНОМУ ЗНАЧЕНИЮ ПОСТОЯННОЙ АСИМПТОТИЧЕСКОЙ ОШИБКИ A =  0,000661523223666363 только при SIGMA =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</si>
</sst>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0E+00"/>
    <numFmt numFmtId="166" formatCode="#,##0.000000"/>
    <numFmt numFmtId="167" formatCode="0.000000E+00"/>
    <numFmt numFmtId="168" formatCode="0E+00"/>
  </numFmts>
  <fonts count="31" x14ac:knownFonts="1">
    <font>
      <sz val="10"/>
      <name val="Arial Cyr"/>
      <charset val="204"/>
    </font>
    <font>
      <sz val="10"/>
      <name val="Arial Cyr"/>
      <charset val="204"/>
    </font>
    <font>
      <sz val="8"/>
      <name val="Arial Cyr"/>
      <charset val="204"/>
    </font>
    <font>
      <b/>
      <sz val="10"/>
      <name val="Arial Cyr"/>
      <charset val="204"/>
    </font>
    <font>
      <b/>
      <i/>
      <sz val="14"/>
      <name val="Arial Cyr"/>
      <charset val="204"/>
    </font>
    <font>
      <sz val="8"/>
      <color indexed="81"/>
      <name val="Tahoma"/>
      <family val="2"/>
      <charset val="204"/>
    </font>
    <font>
      <b/>
      <sz val="8"/>
      <color indexed="81"/>
      <name val="Tahoma"/>
      <family val="2"/>
      <charset val="204"/>
    </font>
    <font>
      <sz val="10"/>
      <name val="Arial Cyr"/>
      <charset val="204"/>
    </font>
    <font>
      <b/>
      <sz val="10"/>
      <name val="Arial"/>
      <family val="2"/>
      <charset val="204"/>
    </font>
    <font>
      <b/>
      <vertAlign val="superscript"/>
      <sz val="10"/>
      <name val="Arial"/>
      <family val="2"/>
      <charset val="204"/>
    </font>
    <font>
      <b/>
      <sz val="8"/>
      <name val="Arial Cyr"/>
      <charset val="204"/>
    </font>
    <font>
      <b/>
      <sz val="8"/>
      <name val="Arial"/>
      <family val="2"/>
    </font>
    <font>
      <sz val="12"/>
      <name val="Times New Roman"/>
      <family val="1"/>
      <charset val="204"/>
    </font>
    <font>
      <b/>
      <vertAlign val="subscript"/>
      <sz val="10"/>
      <name val="Arial Cyr"/>
      <charset val="204"/>
    </font>
    <font>
      <b/>
      <vertAlign val="superscript"/>
      <sz val="10"/>
      <name val="Arial Cyr"/>
      <charset val="204"/>
    </font>
    <font>
      <sz val="10"/>
      <name val="Arial"/>
      <family val="2"/>
      <charset val="204"/>
    </font>
    <font>
      <sz val="11"/>
      <name val="Times New Roman"/>
      <family val="1"/>
      <charset val="204"/>
    </font>
    <font>
      <vertAlign val="subscript"/>
      <sz val="8"/>
      <name val="Arial Cyr"/>
      <charset val="204"/>
    </font>
    <font>
      <b/>
      <sz val="12"/>
      <name val="Times New Roman"/>
      <family val="1"/>
      <charset val="204"/>
    </font>
    <font>
      <sz val="10"/>
      <name val="Arial Cyr"/>
      <charset val="204"/>
    </font>
    <font>
      <sz val="9"/>
      <color indexed="81"/>
      <name val="Tahoma"/>
      <family val="2"/>
      <charset val="204"/>
    </font>
    <font>
      <b/>
      <sz val="9"/>
      <color indexed="81"/>
      <name val="Tahoma"/>
      <family val="2"/>
      <charset val="204"/>
    </font>
    <font>
      <b/>
      <sz val="12"/>
      <name val="Arial"/>
      <family val="2"/>
      <charset val="204"/>
    </font>
    <font>
      <b/>
      <sz val="14"/>
      <name val="Arial"/>
      <family val="2"/>
      <charset val="204"/>
    </font>
    <font>
      <b/>
      <sz val="10"/>
      <name val="Arial"/>
      <family val="2"/>
    </font>
    <font>
      <sz val="10"/>
      <color theme="1"/>
      <name val="Calibri"/>
      <family val="2"/>
      <scheme val="minor"/>
    </font>
    <font>
      <sz val="10"/>
      <name val="Calibri"/>
      <family val="2"/>
      <scheme val="minor"/>
    </font>
    <font>
      <sz val="10"/>
      <color theme="1"/>
      <name val="Times New Roman"/>
      <family val="1"/>
      <charset val="204"/>
    </font>
    <font>
      <b/>
      <i/>
      <sz val="10"/>
      <color rgb="FFFF0000"/>
      <name val="Arial Cyr"/>
      <charset val="204"/>
    </font>
    <font>
      <sz val="10"/>
      <color theme="1"/>
      <name val="Arial Cyr"/>
      <charset val="204"/>
    </font>
    <font>
      <sz val="22"/>
      <name val="Arial Cyr"/>
      <charset val="204"/>
    </font>
  </fonts>
  <fills count="8">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indexed="15"/>
        <bgColor indexed="64"/>
      </patternFill>
    </fill>
    <fill>
      <patternFill patternType="solid">
        <fgColor rgb="FFFFFF00"/>
        <bgColor indexed="64"/>
      </patternFill>
    </fill>
    <fill>
      <patternFill patternType="solid">
        <fgColor theme="0"/>
        <bgColor indexed="64"/>
      </patternFill>
    </fill>
    <fill>
      <patternFill patternType="solid">
        <fgColor theme="8" tint="0.39997558519241921"/>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medium">
        <color indexed="64"/>
      </bottom>
      <diagonal/>
    </border>
  </borders>
  <cellStyleXfs count="1">
    <xf numFmtId="0" fontId="0" fillId="0" borderId="0"/>
  </cellStyleXfs>
  <cellXfs count="148">
    <xf numFmtId="0" fontId="0" fillId="0" borderId="0" xfId="0"/>
    <xf numFmtId="0" fontId="0" fillId="0" borderId="1" xfId="0" applyBorder="1"/>
    <xf numFmtId="0" fontId="3" fillId="0" borderId="1"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0" xfId="0" applyBorder="1"/>
    <xf numFmtId="0" fontId="0" fillId="0" borderId="1" xfId="0" applyBorder="1" applyProtection="1">
      <protection locked="0"/>
    </xf>
    <xf numFmtId="0" fontId="0" fillId="0" borderId="1" xfId="0" applyBorder="1" applyAlignment="1">
      <alignment wrapText="1"/>
    </xf>
    <xf numFmtId="0" fontId="2" fillId="0" borderId="1" xfId="0" applyFont="1" applyBorder="1" applyAlignment="1">
      <alignment wrapText="1"/>
    </xf>
    <xf numFmtId="0" fontId="7" fillId="0" borderId="1" xfId="0" applyFont="1" applyBorder="1" applyAlignment="1">
      <alignment wrapText="1"/>
    </xf>
    <xf numFmtId="0" fontId="7" fillId="0" borderId="1" xfId="0" applyFont="1" applyFill="1" applyBorder="1" applyAlignment="1">
      <alignment horizontal="center" vertical="center" wrapText="1"/>
    </xf>
    <xf numFmtId="0" fontId="0" fillId="0" borderId="1" xfId="0" applyBorder="1" applyAlignment="1" applyProtection="1">
      <protection locked="0"/>
    </xf>
    <xf numFmtId="11" fontId="2" fillId="0" borderId="1" xfId="0" applyNumberFormat="1" applyFont="1" applyBorder="1" applyAlignment="1" applyProtection="1">
      <protection locked="0"/>
    </xf>
    <xf numFmtId="164" fontId="1" fillId="2" borderId="1" xfId="0" applyNumberFormat="1" applyFont="1" applyFill="1" applyBorder="1" applyAlignment="1" applyProtection="1">
      <alignment wrapText="1"/>
      <protection locked="0"/>
    </xf>
    <xf numFmtId="165" fontId="0" fillId="2" borderId="1" xfId="0" applyNumberFormat="1" applyFill="1" applyBorder="1" applyAlignment="1" applyProtection="1">
      <protection locked="0"/>
    </xf>
    <xf numFmtId="1" fontId="0" fillId="2" borderId="1" xfId="0" applyNumberFormat="1" applyFill="1" applyBorder="1" applyAlignment="1" applyProtection="1">
      <protection locked="0"/>
    </xf>
    <xf numFmtId="0" fontId="0" fillId="0" borderId="0" xfId="0" applyBorder="1" applyProtection="1">
      <protection locked="0"/>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11" fontId="0" fillId="0" borderId="1" xfId="0" applyNumberFormat="1" applyBorder="1" applyProtection="1">
      <protection locked="0"/>
    </xf>
    <xf numFmtId="0" fontId="8" fillId="0" borderId="6" xfId="0" applyFont="1" applyBorder="1" applyAlignment="1">
      <alignment horizontal="center" vertical="center"/>
    </xf>
    <xf numFmtId="0" fontId="8" fillId="0" borderId="7" xfId="0" applyFont="1" applyBorder="1" applyAlignment="1">
      <alignment horizontal="center" vertical="center"/>
    </xf>
    <xf numFmtId="0" fontId="8" fillId="0" borderId="8" xfId="0" applyFont="1" applyBorder="1" applyAlignment="1">
      <alignment horizontal="center" vertical="center"/>
    </xf>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1" fontId="2" fillId="3" borderId="1" xfId="0" applyNumberFormat="1" applyFont="1" applyFill="1" applyBorder="1" applyAlignment="1" applyProtection="1">
      <protection locked="0"/>
    </xf>
    <xf numFmtId="11" fontId="0" fillId="3" borderId="1" xfId="0" applyNumberFormat="1" applyFill="1" applyBorder="1" applyProtection="1">
      <protection locked="0"/>
    </xf>
    <xf numFmtId="0" fontId="2" fillId="0" borderId="0" xfId="0" applyFont="1" applyBorder="1" applyAlignment="1" applyProtection="1">
      <alignment wrapText="1"/>
      <protection locked="0"/>
    </xf>
    <xf numFmtId="1" fontId="0" fillId="0" borderId="0" xfId="0" applyNumberFormat="1" applyBorder="1" applyProtection="1">
      <protection locked="0"/>
    </xf>
    <xf numFmtId="0" fontId="1" fillId="0" borderId="12" xfId="0" applyFont="1" applyBorder="1" applyProtection="1">
      <protection locked="0"/>
    </xf>
    <xf numFmtId="0" fontId="1" fillId="0" borderId="2" xfId="0" applyFont="1" applyBorder="1" applyProtection="1">
      <protection locked="0"/>
    </xf>
    <xf numFmtId="164" fontId="1" fillId="0" borderId="1" xfId="0" applyNumberFormat="1" applyFont="1" applyBorder="1" applyProtection="1">
      <protection locked="0"/>
    </xf>
    <xf numFmtId="0" fontId="1" fillId="0" borderId="1" xfId="0" applyFont="1" applyBorder="1" applyProtection="1">
      <protection locked="0"/>
    </xf>
    <xf numFmtId="1" fontId="1" fillId="0" borderId="3" xfId="0" applyNumberFormat="1" applyFont="1" applyBorder="1" applyProtection="1">
      <protection locked="0"/>
    </xf>
    <xf numFmtId="0" fontId="1" fillId="0" borderId="14" xfId="0" applyFont="1" applyBorder="1" applyProtection="1">
      <protection locked="0"/>
    </xf>
    <xf numFmtId="164" fontId="1" fillId="0" borderId="4" xfId="0" applyNumberFormat="1" applyFont="1" applyBorder="1" applyProtection="1">
      <protection locked="0"/>
    </xf>
    <xf numFmtId="0" fontId="1" fillId="0" borderId="4" xfId="0" applyFont="1" applyBorder="1" applyProtection="1">
      <protection locked="0"/>
    </xf>
    <xf numFmtId="1" fontId="1" fillId="0" borderId="5" xfId="0" applyNumberFormat="1" applyFont="1" applyBorder="1" applyProtection="1">
      <protection locked="0"/>
    </xf>
    <xf numFmtId="0" fontId="1" fillId="0" borderId="16" xfId="0" applyFont="1" applyBorder="1" applyAlignment="1" applyProtection="1">
      <alignment wrapText="1"/>
      <protection locked="0"/>
    </xf>
    <xf numFmtId="0" fontId="0" fillId="0" borderId="0" xfId="0" applyProtection="1">
      <protection locked="0"/>
    </xf>
    <xf numFmtId="0" fontId="15" fillId="0" borderId="2" xfId="0" applyFont="1" applyBorder="1" applyAlignment="1">
      <alignment horizontal="center"/>
    </xf>
    <xf numFmtId="0" fontId="8" fillId="0" borderId="14" xfId="0" applyFont="1" applyBorder="1" applyAlignment="1">
      <alignment horizontal="center"/>
    </xf>
    <xf numFmtId="0" fontId="1" fillId="0" borderId="9" xfId="0" applyFont="1" applyBorder="1" applyProtection="1">
      <protection locked="0"/>
    </xf>
    <xf numFmtId="164" fontId="1" fillId="0" borderId="10" xfId="0" applyNumberFormat="1" applyFont="1" applyBorder="1" applyProtection="1">
      <protection locked="0"/>
    </xf>
    <xf numFmtId="0" fontId="1" fillId="0" borderId="10" xfId="0" applyFont="1" applyBorder="1" applyProtection="1">
      <protection locked="0"/>
    </xf>
    <xf numFmtId="1" fontId="1" fillId="0" borderId="11" xfId="0" applyNumberFormat="1" applyFont="1" applyBorder="1" applyProtection="1">
      <protection locked="0"/>
    </xf>
    <xf numFmtId="0" fontId="10" fillId="0" borderId="1" xfId="0" applyFont="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Fill="1" applyBorder="1" applyAlignment="1">
      <alignment horizontal="center" vertical="center" wrapText="1"/>
    </xf>
    <xf numFmtId="0" fontId="11" fillId="3" borderId="1" xfId="0" applyFont="1" applyFill="1" applyBorder="1"/>
    <xf numFmtId="11" fontId="11" fillId="3" borderId="1" xfId="0" applyNumberFormat="1" applyFont="1" applyFill="1" applyBorder="1"/>
    <xf numFmtId="0" fontId="2" fillId="3" borderId="1" xfId="0" applyFont="1" applyFill="1" applyBorder="1"/>
    <xf numFmtId="0" fontId="2" fillId="3" borderId="1" xfId="0" applyFont="1" applyFill="1" applyBorder="1" applyAlignment="1">
      <alignment horizontal="center"/>
    </xf>
    <xf numFmtId="166" fontId="2" fillId="3" borderId="1" xfId="0" applyNumberFormat="1" applyFont="1" applyFill="1" applyBorder="1" applyProtection="1">
      <protection hidden="1"/>
    </xf>
    <xf numFmtId="167" fontId="0" fillId="3" borderId="1" xfId="0" applyNumberFormat="1" applyFill="1" applyBorder="1" applyProtection="1">
      <protection hidden="1"/>
    </xf>
    <xf numFmtId="0" fontId="0" fillId="3" borderId="1" xfId="0" applyFill="1" applyBorder="1" applyProtection="1">
      <protection hidden="1"/>
    </xf>
    <xf numFmtId="0" fontId="12" fillId="0" borderId="0" xfId="0" applyFont="1" applyBorder="1" applyAlignment="1">
      <alignment horizontal="left"/>
    </xf>
    <xf numFmtId="0" fontId="12" fillId="0" borderId="0" xfId="0" applyFont="1" applyBorder="1" applyAlignment="1">
      <alignment wrapText="1"/>
    </xf>
    <xf numFmtId="2" fontId="1" fillId="0" borderId="10" xfId="0" applyNumberFormat="1" applyFont="1" applyBorder="1" applyProtection="1">
      <protection locked="0"/>
    </xf>
    <xf numFmtId="2" fontId="1" fillId="0" borderId="1" xfId="0" applyNumberFormat="1" applyFont="1" applyBorder="1" applyProtection="1">
      <protection locked="0"/>
    </xf>
    <xf numFmtId="2" fontId="1" fillId="0" borderId="4" xfId="0" applyNumberFormat="1" applyFont="1" applyBorder="1" applyProtection="1">
      <protection locked="0"/>
    </xf>
    <xf numFmtId="0" fontId="3" fillId="3" borderId="18" xfId="0" applyFont="1" applyFill="1" applyBorder="1" applyAlignment="1">
      <alignment horizontal="center" wrapText="1"/>
    </xf>
    <xf numFmtId="0" fontId="19" fillId="3" borderId="18" xfId="0" applyFont="1" applyFill="1" applyBorder="1" applyAlignment="1">
      <alignment wrapText="1"/>
    </xf>
    <xf numFmtId="1" fontId="0" fillId="0" borderId="1" xfId="0" applyNumberFormat="1" applyBorder="1"/>
    <xf numFmtId="2" fontId="0" fillId="2" borderId="0" xfId="0" applyNumberFormat="1" applyFill="1" applyBorder="1"/>
    <xf numFmtId="0" fontId="0" fillId="4" borderId="25" xfId="0" applyFill="1" applyBorder="1"/>
    <xf numFmtId="0" fontId="3" fillId="4" borderId="26" xfId="0" applyFont="1" applyFill="1" applyBorder="1" applyAlignment="1">
      <alignment horizontal="center"/>
    </xf>
    <xf numFmtId="0" fontId="3" fillId="4" borderId="17" xfId="0" applyFont="1" applyFill="1" applyBorder="1" applyAlignment="1">
      <alignment horizontal="center"/>
    </xf>
    <xf numFmtId="11" fontId="0" fillId="0" borderId="22" xfId="0" applyNumberFormat="1" applyBorder="1"/>
    <xf numFmtId="0" fontId="15" fillId="0" borderId="13" xfId="0" applyFont="1" applyBorder="1" applyAlignment="1">
      <alignment horizontal="center"/>
    </xf>
    <xf numFmtId="0" fontId="0" fillId="0" borderId="25" xfId="0" applyBorder="1"/>
    <xf numFmtId="0" fontId="0" fillId="0" borderId="24" xfId="0" applyBorder="1"/>
    <xf numFmtId="0" fontId="3" fillId="3" borderId="6" xfId="0" applyFont="1" applyFill="1" applyBorder="1" applyAlignment="1">
      <alignment horizontal="center" wrapText="1"/>
    </xf>
    <xf numFmtId="0" fontId="3" fillId="3" borderId="7" xfId="0" applyFont="1" applyFill="1" applyBorder="1" applyAlignment="1">
      <alignment horizontal="center" wrapText="1"/>
    </xf>
    <xf numFmtId="0" fontId="3" fillId="3" borderId="8" xfId="0" applyFont="1" applyFill="1" applyBorder="1" applyAlignment="1">
      <alignment horizontal="center" wrapText="1"/>
    </xf>
    <xf numFmtId="0" fontId="18" fillId="0" borderId="0" xfId="0" applyFont="1"/>
    <xf numFmtId="0" fontId="1" fillId="0" borderId="0" xfId="0" applyFont="1"/>
    <xf numFmtId="0" fontId="12" fillId="0" borderId="0" xfId="0" applyFont="1"/>
    <xf numFmtId="0" fontId="8" fillId="0" borderId="0" xfId="0" applyFont="1"/>
    <xf numFmtId="0" fontId="24" fillId="0" borderId="27" xfId="0" applyFont="1" applyBorder="1" applyAlignment="1">
      <alignment wrapText="1"/>
    </xf>
    <xf numFmtId="0" fontId="24" fillId="0" borderId="28" xfId="0" applyFont="1" applyBorder="1" applyAlignment="1">
      <alignment wrapText="1"/>
    </xf>
    <xf numFmtId="0" fontId="3" fillId="0" borderId="28" xfId="0" applyFont="1" applyBorder="1" applyAlignment="1">
      <alignment wrapText="1"/>
    </xf>
    <xf numFmtId="0" fontId="24" fillId="0" borderId="29" xfId="0" applyFont="1" applyFill="1" applyBorder="1" applyAlignment="1">
      <alignment wrapText="1"/>
    </xf>
    <xf numFmtId="1" fontId="1" fillId="0" borderId="10" xfId="0" applyNumberFormat="1" applyFont="1" applyBorder="1" applyProtection="1">
      <protection locked="0"/>
    </xf>
    <xf numFmtId="1" fontId="0" fillId="0" borderId="11" xfId="0" applyNumberFormat="1" applyBorder="1" applyProtection="1">
      <protection locked="0"/>
    </xf>
    <xf numFmtId="1" fontId="1" fillId="0" borderId="1" xfId="0" applyNumberFormat="1" applyFont="1" applyBorder="1" applyProtection="1">
      <protection locked="0"/>
    </xf>
    <xf numFmtId="1" fontId="0" fillId="0" borderId="3" xfId="0" applyNumberFormat="1" applyBorder="1" applyProtection="1">
      <protection locked="0"/>
    </xf>
    <xf numFmtId="1" fontId="1" fillId="0" borderId="4" xfId="0" applyNumberFormat="1" applyFont="1" applyBorder="1" applyProtection="1">
      <protection locked="0"/>
    </xf>
    <xf numFmtId="1" fontId="0" fillId="0" borderId="5" xfId="0" applyNumberFormat="1" applyBorder="1" applyProtection="1">
      <protection locked="0"/>
    </xf>
    <xf numFmtId="0" fontId="1" fillId="0" borderId="0" xfId="0" applyFont="1" applyBorder="1" applyProtection="1">
      <protection locked="0"/>
    </xf>
    <xf numFmtId="164" fontId="1" fillId="0" borderId="0" xfId="0" applyNumberFormat="1" applyFont="1" applyBorder="1" applyProtection="1">
      <protection locked="0"/>
    </xf>
    <xf numFmtId="1" fontId="1" fillId="0" borderId="0" xfId="0" applyNumberFormat="1" applyFont="1" applyBorder="1" applyProtection="1">
      <protection locked="0"/>
    </xf>
    <xf numFmtId="2" fontId="0" fillId="3" borderId="16" xfId="0" applyNumberFormat="1" applyFill="1" applyBorder="1" applyProtection="1">
      <protection locked="0"/>
    </xf>
    <xf numFmtId="0" fontId="24" fillId="0" borderId="29" xfId="0" applyFont="1" applyBorder="1" applyAlignment="1">
      <alignment wrapText="1"/>
    </xf>
    <xf numFmtId="2" fontId="1" fillId="5" borderId="1" xfId="0" applyNumberFormat="1" applyFont="1" applyFill="1" applyBorder="1" applyProtection="1">
      <protection locked="0"/>
    </xf>
    <xf numFmtId="0" fontId="0" fillId="0" borderId="1" xfId="0" applyBorder="1" applyAlignment="1">
      <alignment vertical="center"/>
    </xf>
    <xf numFmtId="11" fontId="0" fillId="0" borderId="1" xfId="0" applyNumberFormat="1" applyBorder="1" applyAlignment="1">
      <alignment vertical="center"/>
    </xf>
    <xf numFmtId="167" fontId="0" fillId="0" borderId="1" xfId="0" applyNumberFormat="1" applyBorder="1" applyAlignment="1">
      <alignment vertical="center"/>
    </xf>
    <xf numFmtId="166" fontId="1" fillId="0" borderId="1" xfId="0" applyNumberFormat="1" applyFont="1" applyFill="1" applyBorder="1" applyAlignment="1" applyProtection="1">
      <alignment vertical="center"/>
      <protection hidden="1"/>
    </xf>
    <xf numFmtId="167" fontId="1" fillId="0" borderId="1" xfId="0" applyNumberFormat="1" applyFont="1" applyFill="1" applyBorder="1" applyAlignment="1" applyProtection="1">
      <alignment vertical="center"/>
      <protection hidden="1"/>
    </xf>
    <xf numFmtId="0" fontId="0" fillId="0" borderId="1" xfId="0" applyBorder="1" applyAlignment="1" applyProtection="1">
      <alignment vertical="center"/>
      <protection hidden="1"/>
    </xf>
    <xf numFmtId="0" fontId="0" fillId="0" borderId="0" xfId="0" applyAlignment="1">
      <alignment vertical="center"/>
    </xf>
    <xf numFmtId="0" fontId="25" fillId="6" borderId="1" xfId="0" applyFont="1" applyFill="1" applyBorder="1"/>
    <xf numFmtId="0" fontId="26" fillId="6" borderId="1" xfId="0" applyFont="1" applyFill="1" applyBorder="1"/>
    <xf numFmtId="0" fontId="0" fillId="0" borderId="1" xfId="0" applyFont="1" applyBorder="1" applyAlignment="1">
      <alignment vertical="center" wrapText="1"/>
    </xf>
    <xf numFmtId="0" fontId="27" fillId="6" borderId="1" xfId="0" applyFont="1" applyFill="1" applyBorder="1" applyAlignment="1">
      <alignment vertical="center"/>
    </xf>
    <xf numFmtId="0" fontId="27" fillId="6" borderId="1" xfId="0" applyFont="1" applyFill="1" applyBorder="1"/>
    <xf numFmtId="0" fontId="12" fillId="3" borderId="8" xfId="0" applyFont="1" applyFill="1" applyBorder="1" applyAlignment="1">
      <alignment horizontal="center" vertical="center" wrapText="1"/>
    </xf>
    <xf numFmtId="167" fontId="0" fillId="0" borderId="0" xfId="0" applyNumberFormat="1"/>
    <xf numFmtId="0" fontId="29" fillId="6" borderId="1" xfId="0" applyFont="1" applyFill="1" applyBorder="1"/>
    <xf numFmtId="0" fontId="0" fillId="7" borderId="1" xfId="0" applyFill="1" applyBorder="1" applyAlignment="1">
      <alignment vertical="center"/>
    </xf>
    <xf numFmtId="11" fontId="0" fillId="7" borderId="1" xfId="0" applyNumberFormat="1" applyFill="1" applyBorder="1" applyAlignment="1">
      <alignment vertical="center"/>
    </xf>
    <xf numFmtId="167" fontId="0" fillId="7" borderId="1" xfId="0" applyNumberFormat="1" applyFill="1" applyBorder="1" applyAlignment="1">
      <alignment vertical="center"/>
    </xf>
    <xf numFmtId="0" fontId="0" fillId="7" borderId="1" xfId="0" applyFont="1" applyFill="1" applyBorder="1" applyAlignment="1">
      <alignment vertical="center" wrapText="1"/>
    </xf>
    <xf numFmtId="166" fontId="1" fillId="7" borderId="1" xfId="0" applyNumberFormat="1" applyFont="1" applyFill="1" applyBorder="1" applyAlignment="1" applyProtection="1">
      <alignment vertical="center"/>
      <protection hidden="1"/>
    </xf>
    <xf numFmtId="167" fontId="1" fillId="7" borderId="1" xfId="0" applyNumberFormat="1" applyFont="1" applyFill="1" applyBorder="1" applyAlignment="1" applyProtection="1">
      <alignment vertical="center"/>
      <protection hidden="1"/>
    </xf>
    <xf numFmtId="0" fontId="0" fillId="7" borderId="1" xfId="0" applyFill="1" applyBorder="1" applyAlignment="1" applyProtection="1">
      <alignment vertical="center"/>
      <protection hidden="1"/>
    </xf>
    <xf numFmtId="0" fontId="0" fillId="7" borderId="0" xfId="0" applyFill="1" applyAlignment="1">
      <alignment vertical="center"/>
    </xf>
    <xf numFmtId="168" fontId="1" fillId="0" borderId="10" xfId="0" applyNumberFormat="1" applyFont="1" applyBorder="1" applyProtection="1">
      <protection locked="0"/>
    </xf>
    <xf numFmtId="0" fontId="0" fillId="3" borderId="1" xfId="0" applyNumberFormat="1" applyFill="1" applyBorder="1" applyProtection="1">
      <protection locked="0"/>
    </xf>
    <xf numFmtId="165" fontId="0" fillId="0" borderId="0" xfId="0" applyNumberFormat="1" applyBorder="1"/>
    <xf numFmtId="0" fontId="0" fillId="0" borderId="1" xfId="0" applyFont="1" applyBorder="1"/>
    <xf numFmtId="0" fontId="0" fillId="0" borderId="0" xfId="0" applyFont="1" applyBorder="1"/>
    <xf numFmtId="0" fontId="16" fillId="0" borderId="0" xfId="0" applyFont="1" applyBorder="1" applyAlignment="1">
      <alignment vertical="center" wrapText="1"/>
    </xf>
    <xf numFmtId="0" fontId="0" fillId="0" borderId="0" xfId="0" applyAlignment="1">
      <alignment wrapText="1"/>
    </xf>
    <xf numFmtId="0" fontId="1" fillId="6" borderId="1" xfId="0" applyFont="1" applyFill="1" applyBorder="1" applyProtection="1">
      <protection locked="0"/>
    </xf>
    <xf numFmtId="1" fontId="0" fillId="5" borderId="1" xfId="0" applyNumberFormat="1" applyFill="1" applyBorder="1"/>
    <xf numFmtId="0" fontId="0" fillId="5" borderId="1" xfId="0" applyFont="1" applyFill="1" applyBorder="1"/>
    <xf numFmtId="0" fontId="0" fillId="0" borderId="0" xfId="0" applyAlignment="1">
      <alignment horizontal="center" wrapText="1"/>
    </xf>
    <xf numFmtId="0" fontId="12" fillId="0" borderId="19" xfId="0" applyFont="1" applyBorder="1" applyAlignment="1">
      <alignment horizontal="center" wrapText="1"/>
    </xf>
    <xf numFmtId="0" fontId="12" fillId="0" borderId="20" xfId="0" applyFont="1" applyBorder="1" applyAlignment="1">
      <alignment horizontal="center" wrapText="1"/>
    </xf>
    <xf numFmtId="0" fontId="12" fillId="0" borderId="21" xfId="0" applyFont="1" applyBorder="1" applyAlignment="1">
      <alignment horizontal="center" wrapText="1"/>
    </xf>
    <xf numFmtId="164" fontId="30" fillId="6" borderId="30" xfId="0" applyNumberFormat="1" applyFont="1" applyFill="1" applyBorder="1" applyAlignment="1" applyProtection="1">
      <alignment horizontal="center" vertical="center" wrapText="1"/>
      <protection locked="0"/>
    </xf>
    <xf numFmtId="164" fontId="30" fillId="6" borderId="31" xfId="0" applyNumberFormat="1" applyFont="1" applyFill="1" applyBorder="1" applyAlignment="1" applyProtection="1">
      <alignment horizontal="center" vertical="center" wrapText="1"/>
      <protection locked="0"/>
    </xf>
    <xf numFmtId="164" fontId="30" fillId="6" borderId="32" xfId="0" applyNumberFormat="1" applyFont="1" applyFill="1" applyBorder="1" applyAlignment="1" applyProtection="1">
      <alignment horizontal="center" vertical="center" wrapText="1"/>
      <protection locked="0"/>
    </xf>
    <xf numFmtId="164" fontId="30" fillId="6" borderId="33" xfId="0" applyNumberFormat="1" applyFont="1" applyFill="1" applyBorder="1" applyAlignment="1" applyProtection="1">
      <alignment horizontal="center" vertical="center" wrapText="1"/>
      <protection locked="0"/>
    </xf>
    <xf numFmtId="164" fontId="30" fillId="6" borderId="0" xfId="0" applyNumberFormat="1" applyFont="1" applyFill="1" applyBorder="1" applyAlignment="1" applyProtection="1">
      <alignment horizontal="center" vertical="center" wrapText="1"/>
      <protection locked="0"/>
    </xf>
    <xf numFmtId="164" fontId="30" fillId="6" borderId="34" xfId="0" applyNumberFormat="1" applyFont="1" applyFill="1" applyBorder="1" applyAlignment="1" applyProtection="1">
      <alignment horizontal="center" vertical="center" wrapText="1"/>
      <protection locked="0"/>
    </xf>
    <xf numFmtId="164" fontId="30" fillId="6" borderId="35" xfId="0" applyNumberFormat="1" applyFont="1" applyFill="1" applyBorder="1" applyAlignment="1" applyProtection="1">
      <alignment horizontal="center" vertical="center" wrapText="1"/>
      <protection locked="0"/>
    </xf>
    <xf numFmtId="164" fontId="30" fillId="6" borderId="23" xfId="0" applyNumberFormat="1" applyFont="1" applyFill="1" applyBorder="1" applyAlignment="1" applyProtection="1">
      <alignment horizontal="center" vertical="center" wrapText="1"/>
      <protection locked="0"/>
    </xf>
    <xf numFmtId="164" fontId="30" fillId="6" borderId="26" xfId="0" applyNumberFormat="1" applyFont="1" applyFill="1" applyBorder="1" applyAlignment="1" applyProtection="1">
      <alignment horizontal="center" vertical="center" wrapText="1"/>
      <protection locked="0"/>
    </xf>
  </cellXfs>
  <cellStyles count="1">
    <cellStyle name="Обычный" xfId="0" builtinId="0"/>
  </cellStyles>
  <dxfs count="4">
    <dxf>
      <fill>
        <patternFill>
          <bgColor indexed="11"/>
        </patternFill>
      </fill>
    </dxf>
    <dxf>
      <fill>
        <patternFill>
          <bgColor indexed="26"/>
        </patternFill>
      </fill>
    </dxf>
    <dxf>
      <fill>
        <patternFill>
          <bgColor indexed="26"/>
        </patternFill>
      </fill>
    </dxf>
    <dxf>
      <fill>
        <patternFill>
          <bgColor indexed="1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f(x)=[exp(x)-2-x]^2;</a:t>
            </a:r>
          </a:p>
        </c:rich>
      </c:tx>
      <c:layout>
        <c:manualLayout>
          <c:xMode val="edge"/>
          <c:yMode val="edge"/>
          <c:x val="0.34897993959257373"/>
          <c:y val="3.7288197312296927E-2"/>
        </c:manualLayout>
      </c:layout>
      <c:overlay val="0"/>
      <c:spPr>
        <a:noFill/>
        <a:ln w="25400">
          <a:noFill/>
        </a:ln>
      </c:spPr>
    </c:title>
    <c:autoTitleDeleted val="0"/>
    <c:plotArea>
      <c:layout>
        <c:manualLayout>
          <c:layoutTarget val="inner"/>
          <c:xMode val="edge"/>
          <c:yMode val="edge"/>
          <c:x val="0.17551037897638211"/>
          <c:y val="0.22372918387378157"/>
          <c:w val="0.79591916047429101"/>
          <c:h val="0.38305148148086843"/>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sheet2!$B$5:$B$21</c:f>
              <c:numCache>
                <c:formatCode>General</c:formatCode>
                <c:ptCount val="17"/>
                <c:pt idx="0">
                  <c:v>5</c:v>
                </c:pt>
                <c:pt idx="1">
                  <c:v>4.5120076664949806</c:v>
                </c:pt>
                <c:pt idx="2">
                  <c:v>4.030371890576081</c:v>
                </c:pt>
                <c:pt idx="3">
                  <c:v>3.5582714021424131</c:v>
                </c:pt>
                <c:pt idx="4">
                  <c:v>3.1003141501332458</c:v>
                </c:pt>
                <c:pt idx="5">
                  <c:v>2.6630369045641196</c:v>
                </c:pt>
                <c:pt idx="6">
                  <c:v>2.2554566285548883</c:v>
                </c:pt>
                <c:pt idx="7">
                  <c:v>1.8895818425949162</c:v>
                </c:pt>
                <c:pt idx="8">
                  <c:v>1.580716354467075</c:v>
                </c:pt>
                <c:pt idx="9">
                  <c:v>1.3470145482952147</c:v>
                </c:pt>
                <c:pt idx="10">
                  <c:v>1.2052840617562166</c:v>
                </c:pt>
                <c:pt idx="11">
                  <c:v>1.1528761847400253</c:v>
                </c:pt>
                <c:pt idx="12">
                  <c:v>1.1462897954013189</c:v>
                </c:pt>
                <c:pt idx="13">
                  <c:v>1.1461932411241356</c:v>
                </c:pt>
                <c:pt idx="14">
                  <c:v>1.1461932206205836</c:v>
                </c:pt>
                <c:pt idx="15">
                  <c:v>1.1461932206205827</c:v>
                </c:pt>
                <c:pt idx="16">
                  <c:v>1.1461932206205827</c:v>
                </c:pt>
              </c:numCache>
            </c:numRef>
          </c:cat>
          <c:val>
            <c:numRef>
              <c:f>sheet2!$C$5:$C$21</c:f>
              <c:numCache>
                <c:formatCode>General</c:formatCode>
                <c:ptCount val="17"/>
                <c:pt idx="0">
                  <c:v>19997.681567370644</c:v>
                </c:pt>
                <c:pt idx="1">
                  <c:v>7155.8969601010858</c:v>
                </c:pt>
                <c:pt idx="2">
                  <c:v>2525.2098502490971</c:v>
                </c:pt>
                <c:pt idx="3">
                  <c:v>872.85947120699689</c:v>
                </c:pt>
                <c:pt idx="4">
                  <c:v>292.56774195981978</c:v>
                </c:pt>
                <c:pt idx="5">
                  <c:v>93.639193531914572</c:v>
                </c:pt>
                <c:pt idx="6">
                  <c:v>27.922682588665623</c:v>
                </c:pt>
                <c:pt idx="7">
                  <c:v>7.4366352391368897</c:v>
                </c:pt>
                <c:pt idx="8">
                  <c:v>1.6325647493469115</c:v>
                </c:pt>
                <c:pt idx="9">
                  <c:v>0.2489131818949584</c:v>
                </c:pt>
                <c:pt idx="10">
                  <c:v>1.7535850026161929E-2</c:v>
                </c:pt>
                <c:pt idx="11">
                  <c:v>2.0774456349982338E-4</c:v>
                </c:pt>
                <c:pt idx="12">
                  <c:v>4.2966164131341645E-8</c:v>
                </c:pt>
                <c:pt idx="13">
                  <c:v>1.9364036845487359E-15</c:v>
                </c:pt>
                <c:pt idx="14">
                  <c:v>3.9936083326813723E-30</c:v>
                </c:pt>
                <c:pt idx="15">
                  <c:v>4.9303806576313238E-32</c:v>
                </c:pt>
                <c:pt idx="16">
                  <c:v>4.9303806576313238E-32</c:v>
                </c:pt>
              </c:numCache>
            </c:numRef>
          </c:val>
          <c:smooth val="0"/>
          <c:extLst>
            <c:ext xmlns:c16="http://schemas.microsoft.com/office/drawing/2014/chart" uri="{C3380CC4-5D6E-409C-BE32-E72D297353CC}">
              <c16:uniqueId val="{00000000-2AE9-47E0-9D3C-22BC64FB5355}"/>
            </c:ext>
          </c:extLst>
        </c:ser>
        <c:dLbls>
          <c:showLegendKey val="0"/>
          <c:showVal val="0"/>
          <c:showCatName val="0"/>
          <c:showSerName val="0"/>
          <c:showPercent val="0"/>
          <c:showBubbleSize val="0"/>
        </c:dLbls>
        <c:marker val="1"/>
        <c:smooth val="0"/>
        <c:axId val="125647872"/>
        <c:axId val="86292672"/>
      </c:lineChart>
      <c:catAx>
        <c:axId val="12564787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X</a:t>
                </a:r>
              </a:p>
            </c:rich>
          </c:tx>
          <c:layout>
            <c:manualLayout>
              <c:xMode val="edge"/>
              <c:yMode val="edge"/>
              <c:x val="0.56122504905238468"/>
              <c:y val="0.871187882660028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2700000" vert="horz"/>
          <a:lstStyle/>
          <a:p>
            <a:pPr>
              <a:defRPr sz="1000" b="0" i="0" u="none" strike="noStrike" baseline="0">
                <a:solidFill>
                  <a:srgbClr val="000000"/>
                </a:solidFill>
                <a:latin typeface="Arial"/>
                <a:ea typeface="Arial"/>
                <a:cs typeface="Arial"/>
              </a:defRPr>
            </a:pPr>
            <a:endParaRPr lang="ru-KG"/>
          </a:p>
        </c:txPr>
        <c:crossAx val="86292672"/>
        <c:crosses val="autoZero"/>
        <c:auto val="1"/>
        <c:lblAlgn val="ctr"/>
        <c:lblOffset val="100"/>
        <c:tickLblSkip val="2"/>
        <c:tickMarkSkip val="1"/>
        <c:noMultiLvlLbl val="0"/>
      </c:catAx>
      <c:valAx>
        <c:axId val="8629267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f(x)</a:t>
                </a:r>
              </a:p>
            </c:rich>
          </c:tx>
          <c:layout>
            <c:manualLayout>
              <c:xMode val="edge"/>
              <c:yMode val="edge"/>
              <c:x val="3.2653093763047834E-2"/>
              <c:y val="0.3728819731229692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ru-KG"/>
          </a:p>
        </c:txPr>
        <c:crossAx val="125647872"/>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ru-KG"/>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Cyr"/>
                <a:ea typeface="Arial Cyr"/>
                <a:cs typeface="Arial Cyr"/>
              </a:defRPr>
            </a:pPr>
            <a:r>
              <a:rPr lang="ru-RU"/>
              <a:t>Рисунок 7.3 Зависимость Скорости сходимости Метода Ньютона от Начальной цены</a:t>
            </a:r>
          </a:p>
        </c:rich>
      </c:tx>
      <c:layout>
        <c:manualLayout>
          <c:xMode val="edge"/>
          <c:yMode val="edge"/>
          <c:x val="0.13430441934734549"/>
          <c:y val="3.0373831775700934E-2"/>
        </c:manualLayout>
      </c:layout>
      <c:overlay val="0"/>
      <c:spPr>
        <a:noFill/>
        <a:ln w="25400">
          <a:noFill/>
        </a:ln>
      </c:spPr>
    </c:title>
    <c:autoTitleDeleted val="0"/>
    <c:plotArea>
      <c:layout>
        <c:manualLayout>
          <c:layoutTarget val="inner"/>
          <c:xMode val="edge"/>
          <c:yMode val="edge"/>
          <c:x val="0.11165066186707036"/>
          <c:y val="0.21728971962616822"/>
          <c:w val="0.86569716085337156"/>
          <c:h val="0.57943925233644855"/>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sheet3!$B$39:$B$98</c:f>
              <c:numCache>
                <c:formatCode>0.00</c:formatCode>
                <c:ptCount val="60"/>
                <c:pt idx="0">
                  <c:v>0.99999999996066402</c:v>
                </c:pt>
                <c:pt idx="1">
                  <c:v>184.2523627289105</c:v>
                </c:pt>
                <c:pt idx="2">
                  <c:v>367.50472545786033</c:v>
                </c:pt>
                <c:pt idx="3">
                  <c:v>550.75708818681017</c:v>
                </c:pt>
                <c:pt idx="4">
                  <c:v>734.00945091576</c:v>
                </c:pt>
                <c:pt idx="5">
                  <c:v>917.26181364470983</c:v>
                </c:pt>
                <c:pt idx="6">
                  <c:v>1100.5141763736597</c:v>
                </c:pt>
                <c:pt idx="7">
                  <c:v>1283.7665391026094</c:v>
                </c:pt>
                <c:pt idx="8">
                  <c:v>1467.0189018315591</c:v>
                </c:pt>
                <c:pt idx="9">
                  <c:v>1650.2712645605088</c:v>
                </c:pt>
                <c:pt idx="10">
                  <c:v>1833.5236272894585</c:v>
                </c:pt>
                <c:pt idx="11">
                  <c:v>2016.7759900184083</c:v>
                </c:pt>
                <c:pt idx="12">
                  <c:v>2200.028352747358</c:v>
                </c:pt>
                <c:pt idx="13">
                  <c:v>2383.2807154763077</c:v>
                </c:pt>
                <c:pt idx="14">
                  <c:v>2566.5330782052574</c:v>
                </c:pt>
                <c:pt idx="15">
                  <c:v>2749.7854409342071</c:v>
                </c:pt>
                <c:pt idx="16">
                  <c:v>2933.0378036631569</c:v>
                </c:pt>
                <c:pt idx="17">
                  <c:v>3116.2901663921066</c:v>
                </c:pt>
                <c:pt idx="18">
                  <c:v>3299.5425291210563</c:v>
                </c:pt>
                <c:pt idx="19" formatCode="General">
                  <c:v>3482.794891850006</c:v>
                </c:pt>
                <c:pt idx="20">
                  <c:v>3666.0472545789557</c:v>
                </c:pt>
                <c:pt idx="21">
                  <c:v>3849.2996173079055</c:v>
                </c:pt>
                <c:pt idx="22">
                  <c:v>4032.5519800368552</c:v>
                </c:pt>
                <c:pt idx="23">
                  <c:v>4215.8043427658049</c:v>
                </c:pt>
                <c:pt idx="24">
                  <c:v>4399.0567054947551</c:v>
                </c:pt>
                <c:pt idx="25">
                  <c:v>4582.3090682237053</c:v>
                </c:pt>
                <c:pt idx="26">
                  <c:v>4765.5614309526554</c:v>
                </c:pt>
                <c:pt idx="27">
                  <c:v>4948.8137936816056</c:v>
                </c:pt>
                <c:pt idx="28">
                  <c:v>5132.0661564105558</c:v>
                </c:pt>
                <c:pt idx="29">
                  <c:v>5315.318519139506</c:v>
                </c:pt>
                <c:pt idx="30">
                  <c:v>5498.5708818684561</c:v>
                </c:pt>
                <c:pt idx="31">
                  <c:v>5681.8232445974063</c:v>
                </c:pt>
                <c:pt idx="32">
                  <c:v>5865.0756073263565</c:v>
                </c:pt>
                <c:pt idx="33">
                  <c:v>6048.3279700553067</c:v>
                </c:pt>
                <c:pt idx="34">
                  <c:v>6231.5803327842568</c:v>
                </c:pt>
                <c:pt idx="35">
                  <c:v>6414.832695513207</c:v>
                </c:pt>
                <c:pt idx="36">
                  <c:v>6598.0850582421572</c:v>
                </c:pt>
                <c:pt idx="37">
                  <c:v>6781.3374209711073</c:v>
                </c:pt>
                <c:pt idx="38">
                  <c:v>6964.5897837000575</c:v>
                </c:pt>
                <c:pt idx="39">
                  <c:v>7147.8421464290077</c:v>
                </c:pt>
                <c:pt idx="40">
                  <c:v>7331.0945091579579</c:v>
                </c:pt>
                <c:pt idx="41">
                  <c:v>7514.346871886908</c:v>
                </c:pt>
                <c:pt idx="42">
                  <c:v>7697.5992346158582</c:v>
                </c:pt>
                <c:pt idx="43">
                  <c:v>7880.8515973448084</c:v>
                </c:pt>
                <c:pt idx="44">
                  <c:v>8064.1039600737586</c:v>
                </c:pt>
                <c:pt idx="45">
                  <c:v>8247.3563228027087</c:v>
                </c:pt>
                <c:pt idx="46">
                  <c:v>8430.6086855316589</c:v>
                </c:pt>
                <c:pt idx="47">
                  <c:v>8613.8610482606091</c:v>
                </c:pt>
                <c:pt idx="48">
                  <c:v>8797.1134109895593</c:v>
                </c:pt>
                <c:pt idx="49">
                  <c:v>8980.3657737185094</c:v>
                </c:pt>
                <c:pt idx="50">
                  <c:v>9163.6181364474596</c:v>
                </c:pt>
                <c:pt idx="51">
                  <c:v>9346.8704991764098</c:v>
                </c:pt>
                <c:pt idx="52">
                  <c:v>9530.12286190536</c:v>
                </c:pt>
                <c:pt idx="53">
                  <c:v>9713.3752246343101</c:v>
                </c:pt>
                <c:pt idx="54">
                  <c:v>9896.6275873632603</c:v>
                </c:pt>
                <c:pt idx="55">
                  <c:v>10079.87995009221</c:v>
                </c:pt>
                <c:pt idx="56">
                  <c:v>10263.132312821161</c:v>
                </c:pt>
                <c:pt idx="57">
                  <c:v>10446.384675550111</c:v>
                </c:pt>
                <c:pt idx="58">
                  <c:v>10629.637038279061</c:v>
                </c:pt>
                <c:pt idx="59">
                  <c:v>10812.889401008011</c:v>
                </c:pt>
              </c:numCache>
            </c:numRef>
          </c:cat>
          <c:val>
            <c:numRef>
              <c:f>sheet3!$D$39:$D$98</c:f>
              <c:numCache>
                <c:formatCode>General</c:formatCode>
                <c:ptCount val="60"/>
                <c:pt idx="0">
                  <c:v>1.1499999999999999</c:v>
                </c:pt>
                <c:pt idx="1">
                  <c:v>1.2</c:v>
                </c:pt>
                <c:pt idx="2">
                  <c:v>1.25</c:v>
                </c:pt>
                <c:pt idx="3">
                  <c:v>1.4</c:v>
                </c:pt>
                <c:pt idx="4">
                  <c:v>1.6</c:v>
                </c:pt>
                <c:pt idx="5">
                  <c:v>1.85</c:v>
                </c:pt>
                <c:pt idx="6">
                  <c:v>2</c:v>
                </c:pt>
                <c:pt idx="7">
                  <c:v>2</c:v>
                </c:pt>
                <c:pt idx="8">
                  <c:v>2</c:v>
                </c:pt>
                <c:pt idx="9">
                  <c:v>2</c:v>
                </c:pt>
                <c:pt idx="10">
                  <c:v>2</c:v>
                </c:pt>
                <c:pt idx="11">
                  <c:v>1.95</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0</c:v>
                </c:pt>
                <c:pt idx="50">
                  <c:v>2</c:v>
                </c:pt>
                <c:pt idx="51">
                  <c:v>2</c:v>
                </c:pt>
                <c:pt idx="52">
                  <c:v>2</c:v>
                </c:pt>
                <c:pt idx="53">
                  <c:v>2</c:v>
                </c:pt>
                <c:pt idx="54">
                  <c:v>2</c:v>
                </c:pt>
                <c:pt idx="55">
                  <c:v>2</c:v>
                </c:pt>
                <c:pt idx="56">
                  <c:v>2</c:v>
                </c:pt>
                <c:pt idx="57">
                  <c:v>2</c:v>
                </c:pt>
                <c:pt idx="58">
                  <c:v>1</c:v>
                </c:pt>
                <c:pt idx="59">
                  <c:v>1</c:v>
                </c:pt>
              </c:numCache>
            </c:numRef>
          </c:val>
          <c:smooth val="0"/>
          <c:extLst>
            <c:ext xmlns:c16="http://schemas.microsoft.com/office/drawing/2014/chart" uri="{C3380CC4-5D6E-409C-BE32-E72D297353CC}">
              <c16:uniqueId val="{00000000-44A2-4ECC-8CA7-EF9AF3FBC1A0}"/>
            </c:ext>
          </c:extLst>
        </c:ser>
        <c:dLbls>
          <c:showLegendKey val="0"/>
          <c:showVal val="0"/>
          <c:showCatName val="0"/>
          <c:showSerName val="0"/>
          <c:showPercent val="0"/>
          <c:showBubbleSize val="0"/>
        </c:dLbls>
        <c:marker val="1"/>
        <c:smooth val="0"/>
        <c:axId val="147593728"/>
        <c:axId val="119308864"/>
      </c:lineChart>
      <c:catAx>
        <c:axId val="147593728"/>
        <c:scaling>
          <c:orientation val="minMax"/>
        </c:scaling>
        <c:delete val="0"/>
        <c:axPos val="b"/>
        <c:title>
          <c:tx>
            <c:rich>
              <a:bodyPr/>
              <a:lstStyle/>
              <a:p>
                <a:pPr>
                  <a:defRPr sz="1000" b="1" i="0" u="none" strike="noStrike" baseline="0">
                    <a:solidFill>
                      <a:srgbClr val="000000"/>
                    </a:solidFill>
                    <a:latin typeface="Arial Cyr"/>
                    <a:ea typeface="Arial Cyr"/>
                    <a:cs typeface="Arial Cyr"/>
                  </a:defRPr>
                </a:pPr>
                <a:r>
                  <a:rPr lang="ru-RU"/>
                  <a:t>Начальная цена</a:t>
                </a:r>
              </a:p>
            </c:rich>
          </c:tx>
          <c:layout>
            <c:manualLayout>
              <c:xMode val="edge"/>
              <c:yMode val="edge"/>
              <c:x val="0.45307514960550288"/>
              <c:y val="0.91121495327102808"/>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Cyr"/>
                <a:ea typeface="Arial Cyr"/>
                <a:cs typeface="Arial Cyr"/>
              </a:defRPr>
            </a:pPr>
            <a:endParaRPr lang="ru-KG"/>
          </a:p>
        </c:txPr>
        <c:crossAx val="119308864"/>
        <c:crosses val="autoZero"/>
        <c:auto val="1"/>
        <c:lblAlgn val="ctr"/>
        <c:lblOffset val="100"/>
        <c:tickLblSkip val="3"/>
        <c:tickMarkSkip val="1"/>
        <c:noMultiLvlLbl val="0"/>
      </c:catAx>
      <c:valAx>
        <c:axId val="119308864"/>
        <c:scaling>
          <c:orientation val="minMax"/>
          <c:max val="2"/>
          <c:min val="1"/>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Cyr"/>
                    <a:ea typeface="Arial Cyr"/>
                    <a:cs typeface="Arial Cyr"/>
                  </a:defRPr>
                </a:pPr>
                <a:r>
                  <a:rPr lang="ru-RU"/>
                  <a:t>Скорость сходимости Метода Ньютона</a:t>
                </a:r>
              </a:p>
            </c:rich>
          </c:tx>
          <c:layout>
            <c:manualLayout>
              <c:xMode val="edge"/>
              <c:yMode val="edge"/>
              <c:x val="2.589000854888588E-2"/>
              <c:y val="0.2032710280373831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Cyr"/>
                <a:ea typeface="Arial Cyr"/>
                <a:cs typeface="Arial Cyr"/>
              </a:defRPr>
            </a:pPr>
            <a:endParaRPr lang="ru-KG"/>
          </a:p>
        </c:txPr>
        <c:crossAx val="14759372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Cyr"/>
          <a:ea typeface="Arial Cyr"/>
          <a:cs typeface="Arial Cyr"/>
        </a:defRPr>
      </a:pPr>
      <a:endParaRPr lang="ru-KG"/>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1" i="0" u="none" strike="noStrike" baseline="0">
                <a:effectLst/>
              </a:rPr>
              <a:t>Рисунка 7.3: График зависимости Количества итераций от Начальной цены</a:t>
            </a:r>
            <a:endParaRPr lang="ru-RU"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KG"/>
        </a:p>
      </c:txPr>
    </c:title>
    <c:autoTitleDeleted val="0"/>
    <c:plotArea>
      <c:layout/>
      <c:lineChart>
        <c:grouping val="standard"/>
        <c:varyColors val="0"/>
        <c:ser>
          <c:idx val="0"/>
          <c:order val="0"/>
          <c:tx>
            <c:strRef>
              <c:f>sheet3!$D$38</c:f>
              <c:strCache>
                <c:ptCount val="1"/>
                <c:pt idx="0">
                  <c:v>SIGMA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sheet3!$B$39:$B$98</c:f>
              <c:numCache>
                <c:formatCode>0.00</c:formatCode>
                <c:ptCount val="60"/>
                <c:pt idx="0">
                  <c:v>0.99999999996066402</c:v>
                </c:pt>
                <c:pt idx="1">
                  <c:v>184.2523627289105</c:v>
                </c:pt>
                <c:pt idx="2">
                  <c:v>367.50472545786033</c:v>
                </c:pt>
                <c:pt idx="3">
                  <c:v>550.75708818681017</c:v>
                </c:pt>
                <c:pt idx="4">
                  <c:v>734.00945091576</c:v>
                </c:pt>
                <c:pt idx="5">
                  <c:v>917.26181364470983</c:v>
                </c:pt>
                <c:pt idx="6">
                  <c:v>1100.5141763736597</c:v>
                </c:pt>
                <c:pt idx="7">
                  <c:v>1283.7665391026094</c:v>
                </c:pt>
                <c:pt idx="8">
                  <c:v>1467.0189018315591</c:v>
                </c:pt>
                <c:pt idx="9">
                  <c:v>1650.2712645605088</c:v>
                </c:pt>
                <c:pt idx="10">
                  <c:v>1833.5236272894585</c:v>
                </c:pt>
                <c:pt idx="11">
                  <c:v>2016.7759900184083</c:v>
                </c:pt>
                <c:pt idx="12">
                  <c:v>2200.028352747358</c:v>
                </c:pt>
                <c:pt idx="13">
                  <c:v>2383.2807154763077</c:v>
                </c:pt>
                <c:pt idx="14">
                  <c:v>2566.5330782052574</c:v>
                </c:pt>
                <c:pt idx="15">
                  <c:v>2749.7854409342071</c:v>
                </c:pt>
                <c:pt idx="16">
                  <c:v>2933.0378036631569</c:v>
                </c:pt>
                <c:pt idx="17">
                  <c:v>3116.2901663921066</c:v>
                </c:pt>
                <c:pt idx="18">
                  <c:v>3299.5425291210563</c:v>
                </c:pt>
                <c:pt idx="19" formatCode="General">
                  <c:v>3482.794891850006</c:v>
                </c:pt>
                <c:pt idx="20">
                  <c:v>3666.0472545789557</c:v>
                </c:pt>
                <c:pt idx="21">
                  <c:v>3849.2996173079055</c:v>
                </c:pt>
                <c:pt idx="22">
                  <c:v>4032.5519800368552</c:v>
                </c:pt>
                <c:pt idx="23">
                  <c:v>4215.8043427658049</c:v>
                </c:pt>
                <c:pt idx="24">
                  <c:v>4399.0567054947551</c:v>
                </c:pt>
                <c:pt idx="25">
                  <c:v>4582.3090682237053</c:v>
                </c:pt>
                <c:pt idx="26">
                  <c:v>4765.5614309526554</c:v>
                </c:pt>
                <c:pt idx="27">
                  <c:v>4948.8137936816056</c:v>
                </c:pt>
                <c:pt idx="28">
                  <c:v>5132.0661564105558</c:v>
                </c:pt>
                <c:pt idx="29">
                  <c:v>5315.318519139506</c:v>
                </c:pt>
                <c:pt idx="30">
                  <c:v>5498.5708818684561</c:v>
                </c:pt>
                <c:pt idx="31">
                  <c:v>5681.8232445974063</c:v>
                </c:pt>
                <c:pt idx="32">
                  <c:v>5865.0756073263565</c:v>
                </c:pt>
                <c:pt idx="33">
                  <c:v>6048.3279700553067</c:v>
                </c:pt>
                <c:pt idx="34">
                  <c:v>6231.5803327842568</c:v>
                </c:pt>
                <c:pt idx="35">
                  <c:v>6414.832695513207</c:v>
                </c:pt>
                <c:pt idx="36">
                  <c:v>6598.0850582421572</c:v>
                </c:pt>
                <c:pt idx="37">
                  <c:v>6781.3374209711073</c:v>
                </c:pt>
                <c:pt idx="38">
                  <c:v>6964.5897837000575</c:v>
                </c:pt>
                <c:pt idx="39">
                  <c:v>7147.8421464290077</c:v>
                </c:pt>
                <c:pt idx="40">
                  <c:v>7331.0945091579579</c:v>
                </c:pt>
                <c:pt idx="41">
                  <c:v>7514.346871886908</c:v>
                </c:pt>
                <c:pt idx="42">
                  <c:v>7697.5992346158582</c:v>
                </c:pt>
                <c:pt idx="43">
                  <c:v>7880.8515973448084</c:v>
                </c:pt>
                <c:pt idx="44">
                  <c:v>8064.1039600737586</c:v>
                </c:pt>
                <c:pt idx="45">
                  <c:v>8247.3563228027087</c:v>
                </c:pt>
                <c:pt idx="46">
                  <c:v>8430.6086855316589</c:v>
                </c:pt>
                <c:pt idx="47">
                  <c:v>8613.8610482606091</c:v>
                </c:pt>
                <c:pt idx="48">
                  <c:v>8797.1134109895593</c:v>
                </c:pt>
                <c:pt idx="49">
                  <c:v>8980.3657737185094</c:v>
                </c:pt>
                <c:pt idx="50">
                  <c:v>9163.6181364474596</c:v>
                </c:pt>
                <c:pt idx="51">
                  <c:v>9346.8704991764098</c:v>
                </c:pt>
                <c:pt idx="52">
                  <c:v>9530.12286190536</c:v>
                </c:pt>
                <c:pt idx="53">
                  <c:v>9713.3752246343101</c:v>
                </c:pt>
                <c:pt idx="54">
                  <c:v>9896.6275873632603</c:v>
                </c:pt>
                <c:pt idx="55">
                  <c:v>10079.87995009221</c:v>
                </c:pt>
                <c:pt idx="56">
                  <c:v>10263.132312821161</c:v>
                </c:pt>
                <c:pt idx="57">
                  <c:v>10446.384675550111</c:v>
                </c:pt>
                <c:pt idx="58">
                  <c:v>10629.637038279061</c:v>
                </c:pt>
                <c:pt idx="59">
                  <c:v>10812.889401008011</c:v>
                </c:pt>
              </c:numCache>
            </c:numRef>
          </c:cat>
          <c:val>
            <c:numRef>
              <c:f>sheet3!$D$39:$D$98</c:f>
              <c:numCache>
                <c:formatCode>General</c:formatCode>
                <c:ptCount val="60"/>
                <c:pt idx="0">
                  <c:v>1.1499999999999999</c:v>
                </c:pt>
                <c:pt idx="1">
                  <c:v>1.2</c:v>
                </c:pt>
                <c:pt idx="2">
                  <c:v>1.25</c:v>
                </c:pt>
                <c:pt idx="3">
                  <c:v>1.4</c:v>
                </c:pt>
                <c:pt idx="4">
                  <c:v>1.6</c:v>
                </c:pt>
                <c:pt idx="5">
                  <c:v>1.85</c:v>
                </c:pt>
                <c:pt idx="6">
                  <c:v>2</c:v>
                </c:pt>
                <c:pt idx="7">
                  <c:v>2</c:v>
                </c:pt>
                <c:pt idx="8">
                  <c:v>2</c:v>
                </c:pt>
                <c:pt idx="9">
                  <c:v>2</c:v>
                </c:pt>
                <c:pt idx="10">
                  <c:v>2</c:v>
                </c:pt>
                <c:pt idx="11">
                  <c:v>1.95</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0</c:v>
                </c:pt>
                <c:pt idx="50">
                  <c:v>2</c:v>
                </c:pt>
                <c:pt idx="51">
                  <c:v>2</c:v>
                </c:pt>
                <c:pt idx="52">
                  <c:v>2</c:v>
                </c:pt>
                <c:pt idx="53">
                  <c:v>2</c:v>
                </c:pt>
                <c:pt idx="54">
                  <c:v>2</c:v>
                </c:pt>
                <c:pt idx="55">
                  <c:v>2</c:v>
                </c:pt>
                <c:pt idx="56">
                  <c:v>2</c:v>
                </c:pt>
                <c:pt idx="57">
                  <c:v>2</c:v>
                </c:pt>
                <c:pt idx="58">
                  <c:v>1</c:v>
                </c:pt>
                <c:pt idx="59">
                  <c:v>1</c:v>
                </c:pt>
              </c:numCache>
            </c:numRef>
          </c:val>
          <c:smooth val="0"/>
          <c:extLst>
            <c:ext xmlns:c16="http://schemas.microsoft.com/office/drawing/2014/chart" uri="{C3380CC4-5D6E-409C-BE32-E72D297353CC}">
              <c16:uniqueId val="{00000000-7482-4F26-85E6-5A436EBC55A6}"/>
            </c:ext>
          </c:extLst>
        </c:ser>
        <c:dLbls>
          <c:showLegendKey val="0"/>
          <c:showVal val="0"/>
          <c:showCatName val="0"/>
          <c:showSerName val="0"/>
          <c:showPercent val="0"/>
          <c:showBubbleSize val="0"/>
        </c:dLbls>
        <c:marker val="1"/>
        <c:smooth val="0"/>
        <c:axId val="1880174512"/>
        <c:axId val="1656939808"/>
      </c:lineChart>
      <c:catAx>
        <c:axId val="1880174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Начальная цена</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656939808"/>
        <c:crosses val="autoZero"/>
        <c:auto val="1"/>
        <c:lblAlgn val="ctr"/>
        <c:lblOffset val="100"/>
        <c:tickLblSkip val="6"/>
        <c:noMultiLvlLbl val="0"/>
      </c:catAx>
      <c:valAx>
        <c:axId val="1656939808"/>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Скорость сходимости</a:t>
                </a:r>
                <a:r>
                  <a:rPr lang="ru-RU" sz="1400" b="1" baseline="0"/>
                  <a:t> Метода Ньютона</a:t>
                </a:r>
                <a:endParaRPr lang="ru-RU" sz="14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880174512"/>
        <c:crosses val="autoZero"/>
        <c:crossBetween val="between"/>
        <c:majorUnit val="0.30000000000000004"/>
      </c:valAx>
      <c:spPr>
        <a:solidFill>
          <a:schemeClr val="tx1">
            <a:lumMod val="50000"/>
            <a:lumOff val="50000"/>
            <a:alpha val="36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KG"/>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1" i="0" u="none" strike="noStrike" baseline="0">
                <a:effectLst/>
              </a:rPr>
              <a:t>Рисунка 7.1: График зависимости Количества итераций от Логарифма Допустимой погрешности</a:t>
            </a:r>
            <a:endParaRPr lang="ru-RU"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KG"/>
        </a:p>
      </c:txPr>
    </c:title>
    <c:autoTitleDeleted val="0"/>
    <c:plotArea>
      <c:layout/>
      <c:lineChart>
        <c:grouping val="standard"/>
        <c:varyColors val="0"/>
        <c:ser>
          <c:idx val="0"/>
          <c:order val="0"/>
          <c:tx>
            <c:strRef>
              <c:f>sheet5!$F$11</c:f>
              <c:strCache>
                <c:ptCount val="1"/>
                <c:pt idx="0">
                  <c:v>Amount of iteration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sheet5!$J$12:$J$22</c:f>
              <c:numCache>
                <c:formatCode>0</c:formatCode>
                <c:ptCount val="11"/>
                <c:pt idx="0">
                  <c:v>2.3025850929940455</c:v>
                </c:pt>
                <c:pt idx="1">
                  <c:v>4.6051701859880909</c:v>
                </c:pt>
                <c:pt idx="2">
                  <c:v>6.9077552789821368</c:v>
                </c:pt>
                <c:pt idx="3">
                  <c:v>9.2103403719761818</c:v>
                </c:pt>
                <c:pt idx="4">
                  <c:v>11.512925464970229</c:v>
                </c:pt>
                <c:pt idx="5">
                  <c:v>13.815510557964274</c:v>
                </c:pt>
                <c:pt idx="6">
                  <c:v>16.11809565095832</c:v>
                </c:pt>
                <c:pt idx="7">
                  <c:v>18.420680743952364</c:v>
                </c:pt>
                <c:pt idx="8">
                  <c:v>20.72326583694641</c:v>
                </c:pt>
                <c:pt idx="9">
                  <c:v>23.025850929940457</c:v>
                </c:pt>
                <c:pt idx="10">
                  <c:v>25.3284360229345</c:v>
                </c:pt>
              </c:numCache>
            </c:numRef>
          </c:cat>
          <c:val>
            <c:numRef>
              <c:f>sheet5!$F$12:$F$22</c:f>
              <c:numCache>
                <c:formatCode>General</c:formatCode>
                <c:ptCount val="11"/>
                <c:pt idx="0">
                  <c:v>66</c:v>
                </c:pt>
                <c:pt idx="1">
                  <c:v>68</c:v>
                </c:pt>
                <c:pt idx="2">
                  <c:v>69</c:v>
                </c:pt>
                <c:pt idx="3">
                  <c:v>70</c:v>
                </c:pt>
                <c:pt idx="4">
                  <c:v>70</c:v>
                </c:pt>
                <c:pt idx="5">
                  <c:v>70</c:v>
                </c:pt>
                <c:pt idx="6">
                  <c:v>70</c:v>
                </c:pt>
                <c:pt idx="7">
                  <c:v>70</c:v>
                </c:pt>
                <c:pt idx="8">
                  <c:v>71</c:v>
                </c:pt>
                <c:pt idx="9">
                  <c:v>71</c:v>
                </c:pt>
                <c:pt idx="10">
                  <c:v>71</c:v>
                </c:pt>
              </c:numCache>
            </c:numRef>
          </c:val>
          <c:smooth val="0"/>
          <c:extLst>
            <c:ext xmlns:c16="http://schemas.microsoft.com/office/drawing/2014/chart" uri="{C3380CC4-5D6E-409C-BE32-E72D297353CC}">
              <c16:uniqueId val="{00000000-C625-41E1-B9DB-585F79182F88}"/>
            </c:ext>
          </c:extLst>
        </c:ser>
        <c:dLbls>
          <c:showLegendKey val="0"/>
          <c:showVal val="0"/>
          <c:showCatName val="0"/>
          <c:showSerName val="0"/>
          <c:showPercent val="0"/>
          <c:showBubbleSize val="0"/>
        </c:dLbls>
        <c:marker val="1"/>
        <c:smooth val="0"/>
        <c:axId val="1880174512"/>
        <c:axId val="1656939808"/>
      </c:lineChart>
      <c:catAx>
        <c:axId val="1880174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Логарифм Допустимой</a:t>
                </a:r>
                <a:r>
                  <a:rPr lang="ru-RU" sz="1400" b="1" baseline="0"/>
                  <a:t> </a:t>
                </a:r>
                <a:r>
                  <a:rPr lang="ru-RU" sz="1400" b="1"/>
                  <a:t>погрешности</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656939808"/>
        <c:crosses val="autoZero"/>
        <c:auto val="1"/>
        <c:lblAlgn val="ctr"/>
        <c:lblOffset val="100"/>
        <c:noMultiLvlLbl val="0"/>
      </c:catAx>
      <c:valAx>
        <c:axId val="1656939808"/>
        <c:scaling>
          <c:orientation val="minMax"/>
          <c:min val="65.5"/>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Количество</a:t>
                </a:r>
                <a:r>
                  <a:rPr lang="ru-RU" sz="1400" b="1" baseline="0"/>
                  <a:t> итераций</a:t>
                </a:r>
                <a:endParaRPr lang="ru-RU" sz="14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880174512"/>
        <c:crosses val="autoZero"/>
        <c:crossBetween val="between"/>
      </c:valAx>
      <c:spPr>
        <a:solidFill>
          <a:schemeClr val="tx1">
            <a:lumMod val="50000"/>
            <a:lumOff val="50000"/>
            <a:alpha val="36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KG"/>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1" i="0" u="none" strike="noStrike" baseline="0">
                <a:effectLst/>
              </a:rPr>
              <a:t>Рисунка 7.2: График зависимости Количества итераций от Начальной цены</a:t>
            </a:r>
            <a:endParaRPr lang="ru-RU"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KG"/>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sheet5!$H$28:$H$82</c:f>
              <c:numCache>
                <c:formatCode>0.00</c:formatCode>
                <c:ptCount val="55"/>
                <c:pt idx="0">
                  <c:v>184.2523627289105</c:v>
                </c:pt>
                <c:pt idx="1">
                  <c:v>367.50472545786033</c:v>
                </c:pt>
                <c:pt idx="2">
                  <c:v>550.75708818681017</c:v>
                </c:pt>
                <c:pt idx="3">
                  <c:v>734.00945091576</c:v>
                </c:pt>
                <c:pt idx="4">
                  <c:v>917.26181364470983</c:v>
                </c:pt>
                <c:pt idx="5">
                  <c:v>1100.5141763736597</c:v>
                </c:pt>
                <c:pt idx="6">
                  <c:v>1283.7665391026094</c:v>
                </c:pt>
                <c:pt idx="7">
                  <c:v>1467.0189018315591</c:v>
                </c:pt>
                <c:pt idx="8">
                  <c:v>1650.2712645605088</c:v>
                </c:pt>
                <c:pt idx="9">
                  <c:v>1833.5236272894585</c:v>
                </c:pt>
                <c:pt idx="10">
                  <c:v>2016.7759900184083</c:v>
                </c:pt>
                <c:pt idx="11">
                  <c:v>2200.028352747358</c:v>
                </c:pt>
                <c:pt idx="12">
                  <c:v>2383.2807154763077</c:v>
                </c:pt>
                <c:pt idx="13">
                  <c:v>2566.5330782052574</c:v>
                </c:pt>
                <c:pt idx="14">
                  <c:v>2749.7854409342071</c:v>
                </c:pt>
                <c:pt idx="15">
                  <c:v>2933.0378036631569</c:v>
                </c:pt>
                <c:pt idx="16">
                  <c:v>3116.2901663921066</c:v>
                </c:pt>
                <c:pt idx="17">
                  <c:v>3299.5425291210563</c:v>
                </c:pt>
                <c:pt idx="18">
                  <c:v>3482.794891850006</c:v>
                </c:pt>
                <c:pt idx="19">
                  <c:v>3666.0472545789557</c:v>
                </c:pt>
                <c:pt idx="20">
                  <c:v>3849.2996173079055</c:v>
                </c:pt>
                <c:pt idx="21">
                  <c:v>4032.5519800368552</c:v>
                </c:pt>
                <c:pt idx="22">
                  <c:v>4215.8043427658049</c:v>
                </c:pt>
                <c:pt idx="23">
                  <c:v>4399.0567054947551</c:v>
                </c:pt>
                <c:pt idx="24">
                  <c:v>4582.3090682237053</c:v>
                </c:pt>
                <c:pt idx="25">
                  <c:v>4765.5614309526554</c:v>
                </c:pt>
                <c:pt idx="26">
                  <c:v>4948.8137936816056</c:v>
                </c:pt>
                <c:pt idx="27">
                  <c:v>5132.0661564105558</c:v>
                </c:pt>
                <c:pt idx="28">
                  <c:v>5315.318519139506</c:v>
                </c:pt>
                <c:pt idx="29">
                  <c:v>5498.5708818684561</c:v>
                </c:pt>
                <c:pt idx="30">
                  <c:v>5681.8232445974063</c:v>
                </c:pt>
                <c:pt idx="31">
                  <c:v>5865.0756073263565</c:v>
                </c:pt>
                <c:pt idx="32">
                  <c:v>6048.3279700553067</c:v>
                </c:pt>
                <c:pt idx="33">
                  <c:v>6231.5803327842568</c:v>
                </c:pt>
                <c:pt idx="34">
                  <c:v>6414.832695513207</c:v>
                </c:pt>
                <c:pt idx="35">
                  <c:v>6598.0850582421572</c:v>
                </c:pt>
                <c:pt idx="36">
                  <c:v>6781.3374209711073</c:v>
                </c:pt>
                <c:pt idx="37">
                  <c:v>6964.5897837000575</c:v>
                </c:pt>
                <c:pt idx="38">
                  <c:v>7147.8421464290077</c:v>
                </c:pt>
                <c:pt idx="39">
                  <c:v>7331.0945091579579</c:v>
                </c:pt>
                <c:pt idx="40">
                  <c:v>7514.346871886908</c:v>
                </c:pt>
                <c:pt idx="41">
                  <c:v>7697.5992346158582</c:v>
                </c:pt>
                <c:pt idx="42">
                  <c:v>7880.8515973448084</c:v>
                </c:pt>
                <c:pt idx="43">
                  <c:v>8064.1039600737586</c:v>
                </c:pt>
                <c:pt idx="44">
                  <c:v>8247.3563228027087</c:v>
                </c:pt>
                <c:pt idx="45">
                  <c:v>8430.6086855316589</c:v>
                </c:pt>
                <c:pt idx="46">
                  <c:v>8613.8610482606091</c:v>
                </c:pt>
                <c:pt idx="47">
                  <c:v>8797.1134109895593</c:v>
                </c:pt>
                <c:pt idx="48">
                  <c:v>8980.3657737185094</c:v>
                </c:pt>
                <c:pt idx="49">
                  <c:v>9163.6181364474596</c:v>
                </c:pt>
                <c:pt idx="50">
                  <c:v>9346.8704991764098</c:v>
                </c:pt>
                <c:pt idx="51">
                  <c:v>9530.12286190536</c:v>
                </c:pt>
                <c:pt idx="52">
                  <c:v>9713.3752246343101</c:v>
                </c:pt>
                <c:pt idx="53">
                  <c:v>9896.6275873632603</c:v>
                </c:pt>
                <c:pt idx="54">
                  <c:v>10079.87995009221</c:v>
                </c:pt>
              </c:numCache>
            </c:numRef>
          </c:cat>
          <c:val>
            <c:numRef>
              <c:f>sheet5!$F$28:$F$82</c:f>
              <c:numCache>
                <c:formatCode>General</c:formatCode>
                <c:ptCount val="55"/>
                <c:pt idx="0">
                  <c:v>34</c:v>
                </c:pt>
                <c:pt idx="1">
                  <c:v>29</c:v>
                </c:pt>
                <c:pt idx="2">
                  <c:v>26</c:v>
                </c:pt>
                <c:pt idx="3">
                  <c:v>24</c:v>
                </c:pt>
                <c:pt idx="4">
                  <c:v>23</c:v>
                </c:pt>
                <c:pt idx="5">
                  <c:v>21</c:v>
                </c:pt>
                <c:pt idx="6">
                  <c:v>20</c:v>
                </c:pt>
                <c:pt idx="7">
                  <c:v>19</c:v>
                </c:pt>
                <c:pt idx="8">
                  <c:v>19</c:v>
                </c:pt>
                <c:pt idx="9">
                  <c:v>18</c:v>
                </c:pt>
                <c:pt idx="10">
                  <c:v>17</c:v>
                </c:pt>
                <c:pt idx="11">
                  <c:v>16</c:v>
                </c:pt>
                <c:pt idx="12">
                  <c:v>16</c:v>
                </c:pt>
                <c:pt idx="13">
                  <c:v>15</c:v>
                </c:pt>
                <c:pt idx="14">
                  <c:v>15</c:v>
                </c:pt>
                <c:pt idx="15">
                  <c:v>14</c:v>
                </c:pt>
                <c:pt idx="16">
                  <c:v>14</c:v>
                </c:pt>
                <c:pt idx="17">
                  <c:v>13</c:v>
                </c:pt>
                <c:pt idx="18">
                  <c:v>13</c:v>
                </c:pt>
                <c:pt idx="19">
                  <c:v>13</c:v>
                </c:pt>
                <c:pt idx="20">
                  <c:v>12</c:v>
                </c:pt>
                <c:pt idx="21">
                  <c:v>12</c:v>
                </c:pt>
                <c:pt idx="22">
                  <c:v>12</c:v>
                </c:pt>
                <c:pt idx="23">
                  <c:v>11</c:v>
                </c:pt>
                <c:pt idx="24">
                  <c:v>11</c:v>
                </c:pt>
                <c:pt idx="25">
                  <c:v>11</c:v>
                </c:pt>
                <c:pt idx="26">
                  <c:v>10</c:v>
                </c:pt>
                <c:pt idx="27">
                  <c:v>10</c:v>
                </c:pt>
                <c:pt idx="28">
                  <c:v>10</c:v>
                </c:pt>
                <c:pt idx="29">
                  <c:v>9</c:v>
                </c:pt>
                <c:pt idx="30">
                  <c:v>9</c:v>
                </c:pt>
                <c:pt idx="31">
                  <c:v>9</c:v>
                </c:pt>
                <c:pt idx="32">
                  <c:v>9</c:v>
                </c:pt>
                <c:pt idx="33">
                  <c:v>8</c:v>
                </c:pt>
                <c:pt idx="34">
                  <c:v>8</c:v>
                </c:pt>
                <c:pt idx="35">
                  <c:v>8</c:v>
                </c:pt>
                <c:pt idx="36">
                  <c:v>8</c:v>
                </c:pt>
                <c:pt idx="37">
                  <c:v>7</c:v>
                </c:pt>
                <c:pt idx="38">
                  <c:v>7</c:v>
                </c:pt>
                <c:pt idx="39">
                  <c:v>7</c:v>
                </c:pt>
                <c:pt idx="40">
                  <c:v>6</c:v>
                </c:pt>
                <c:pt idx="41">
                  <c:v>6</c:v>
                </c:pt>
                <c:pt idx="42">
                  <c:v>6</c:v>
                </c:pt>
                <c:pt idx="43">
                  <c:v>6</c:v>
                </c:pt>
                <c:pt idx="44">
                  <c:v>5</c:v>
                </c:pt>
                <c:pt idx="45">
                  <c:v>5</c:v>
                </c:pt>
                <c:pt idx="46">
                  <c:v>5</c:v>
                </c:pt>
                <c:pt idx="47">
                  <c:v>4</c:v>
                </c:pt>
                <c:pt idx="48">
                  <c:v>0</c:v>
                </c:pt>
                <c:pt idx="49">
                  <c:v>4</c:v>
                </c:pt>
                <c:pt idx="50">
                  <c:v>5</c:v>
                </c:pt>
                <c:pt idx="51">
                  <c:v>6</c:v>
                </c:pt>
                <c:pt idx="52">
                  <c:v>6</c:v>
                </c:pt>
                <c:pt idx="53">
                  <c:v>7</c:v>
                </c:pt>
                <c:pt idx="54">
                  <c:v>9</c:v>
                </c:pt>
              </c:numCache>
            </c:numRef>
          </c:val>
          <c:smooth val="0"/>
          <c:extLst>
            <c:ext xmlns:c16="http://schemas.microsoft.com/office/drawing/2014/chart" uri="{C3380CC4-5D6E-409C-BE32-E72D297353CC}">
              <c16:uniqueId val="{00000000-C625-41E1-B9DB-585F79182F88}"/>
            </c:ext>
          </c:extLst>
        </c:ser>
        <c:dLbls>
          <c:showLegendKey val="0"/>
          <c:showVal val="0"/>
          <c:showCatName val="0"/>
          <c:showSerName val="0"/>
          <c:showPercent val="0"/>
          <c:showBubbleSize val="0"/>
        </c:dLbls>
        <c:marker val="1"/>
        <c:smooth val="0"/>
        <c:axId val="1880174512"/>
        <c:axId val="1656939808"/>
      </c:lineChart>
      <c:catAx>
        <c:axId val="1880174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Начальная цена</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656939808"/>
        <c:crosses val="autoZero"/>
        <c:auto val="1"/>
        <c:lblAlgn val="ctr"/>
        <c:lblOffset val="100"/>
        <c:tickLblSkip val="6"/>
        <c:noMultiLvlLbl val="0"/>
      </c:catAx>
      <c:valAx>
        <c:axId val="1656939808"/>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Количество</a:t>
                </a:r>
                <a:r>
                  <a:rPr lang="ru-RU" sz="1400" b="1" baseline="0"/>
                  <a:t> итераций</a:t>
                </a:r>
                <a:endParaRPr lang="ru-RU" sz="14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880174512"/>
        <c:crosses val="autoZero"/>
        <c:crossBetween val="between"/>
        <c:majorUnit val="5.3"/>
      </c:valAx>
      <c:spPr>
        <a:solidFill>
          <a:schemeClr val="tx1">
            <a:lumMod val="50000"/>
            <a:lumOff val="50000"/>
            <a:alpha val="36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KG"/>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16" fmlaLink="$L$5" fmlaRange="$H$7:$H$27" noThreeD="1" sel="3" val="0"/>
</file>

<file path=xl/ctrlProps/ctrlProp2.xml><?xml version="1.0" encoding="utf-8"?>
<formControlPr xmlns="http://schemas.microsoft.com/office/spreadsheetml/2009/9/main" objectType="Drop" dropLines="11" dropStyle="combo" dx="16" fmlaLink="$N$5" fmlaRange="$G$10:$G$20" sel="11" val="0"/>
</file>

<file path=xl/ctrlProps/ctrlProp3.xml><?xml version="1.0" encoding="utf-8"?>
<formControlPr xmlns="http://schemas.microsoft.com/office/spreadsheetml/2009/9/main" objectType="List" dx="16" fmlaLink="H5" fmlaRange="G4:G5" noThreeD="1" sel="2" val="0"/>
</file>

<file path=xl/ctrlProps/ctrlProp4.xml><?xml version="1.0" encoding="utf-8"?>
<formControlPr xmlns="http://schemas.microsoft.com/office/spreadsheetml/2009/9/main" objectType="Drop" dropLines="20" dropStyle="combo" dx="16" fmlaLink="$O$5" fmlaRange="sheet5!$H$27:$H$126" sel="64" val="53"/>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image" Target="../media/image1.png"/><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238125</xdr:colOff>
      <xdr:row>5</xdr:row>
      <xdr:rowOff>19050</xdr:rowOff>
    </xdr:from>
    <xdr:to>
      <xdr:col>17</xdr:col>
      <xdr:colOff>28575</xdr:colOff>
      <xdr:row>22</xdr:row>
      <xdr:rowOff>66675</xdr:rowOff>
    </xdr:to>
    <xdr:graphicFrame macro="">
      <xdr:nvGraphicFramePr>
        <xdr:cNvPr id="5121" name="Chart 1">
          <a:extLst>
            <a:ext uri="{FF2B5EF4-FFF2-40B4-BE49-F238E27FC236}">
              <a16:creationId xmlns:a16="http://schemas.microsoft.com/office/drawing/2014/main" id="{00000000-0008-0000-0100-000001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xdr:colOff>
          <xdr:row>7</xdr:row>
          <xdr:rowOff>142875</xdr:rowOff>
        </xdr:from>
        <xdr:to>
          <xdr:col>5</xdr:col>
          <xdr:colOff>190500</xdr:colOff>
          <xdr:row>24</xdr:row>
          <xdr:rowOff>47625</xdr:rowOff>
        </xdr:to>
        <xdr:sp macro="" textlink="">
          <xdr:nvSpPr>
            <xdr:cNvPr id="2073" name="List Box 25" hidden="1">
              <a:extLst>
                <a:ext uri="{63B3BB69-23CF-44E3-9099-C40C66FF867C}">
                  <a14:compatExt spid="_x0000_s2073"/>
                </a:ext>
                <a:ext uri="{FF2B5EF4-FFF2-40B4-BE49-F238E27FC236}">
                  <a16:creationId xmlns:a16="http://schemas.microsoft.com/office/drawing/2014/main" id="{00000000-0008-0000-02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27</xdr:col>
      <xdr:colOff>331565</xdr:colOff>
      <xdr:row>41</xdr:row>
      <xdr:rowOff>55903</xdr:rowOff>
    </xdr:from>
    <xdr:to>
      <xdr:col>37</xdr:col>
      <xdr:colOff>140047</xdr:colOff>
      <xdr:row>66</xdr:row>
      <xdr:rowOff>95123</xdr:rowOff>
    </xdr:to>
    <xdr:graphicFrame macro="">
      <xdr:nvGraphicFramePr>
        <xdr:cNvPr id="2079" name="Chart 31">
          <a:extLst>
            <a:ext uri="{FF2B5EF4-FFF2-40B4-BE49-F238E27FC236}">
              <a16:creationId xmlns:a16="http://schemas.microsoft.com/office/drawing/2014/main" id="{00000000-0008-0000-0200-00001F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27</xdr:col>
      <xdr:colOff>227479</xdr:colOff>
      <xdr:row>40</xdr:row>
      <xdr:rowOff>5043</xdr:rowOff>
    </xdr:from>
    <xdr:to>
      <xdr:col>37</xdr:col>
      <xdr:colOff>41462</xdr:colOff>
      <xdr:row>68</xdr:row>
      <xdr:rowOff>28294</xdr:rowOff>
    </xdr:to>
    <xdr:pic>
      <xdr:nvPicPr>
        <xdr:cNvPr id="2081" name="Picture 33">
          <a:extLst>
            <a:ext uri="{FF2B5EF4-FFF2-40B4-BE49-F238E27FC236}">
              <a16:creationId xmlns:a16="http://schemas.microsoft.com/office/drawing/2014/main" id="{00000000-0008-0000-0200-0000210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55161" y="8127270"/>
          <a:ext cx="5875346" cy="43874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729467</xdr:colOff>
      <xdr:row>78</xdr:row>
      <xdr:rowOff>49215</xdr:rowOff>
    </xdr:from>
    <xdr:to>
      <xdr:col>18</xdr:col>
      <xdr:colOff>477521</xdr:colOff>
      <xdr:row>102</xdr:row>
      <xdr:rowOff>40410</xdr:rowOff>
    </xdr:to>
    <xdr:graphicFrame macro="">
      <xdr:nvGraphicFramePr>
        <xdr:cNvPr id="6" name="Диаграмма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800100</xdr:colOff>
          <xdr:row>4</xdr:row>
          <xdr:rowOff>0</xdr:rowOff>
        </xdr:from>
        <xdr:to>
          <xdr:col>8</xdr:col>
          <xdr:colOff>895350</xdr:colOff>
          <xdr:row>4</xdr:row>
          <xdr:rowOff>219075</xdr:rowOff>
        </xdr:to>
        <xdr:sp macro="" textlink="">
          <xdr:nvSpPr>
            <xdr:cNvPr id="1130" name="Drop Down 106" hidden="1">
              <a:extLst>
                <a:ext uri="{63B3BB69-23CF-44E3-9099-C40C66FF867C}">
                  <a14:compatExt spid="_x0000_s1130"/>
                </a:ext>
                <a:ext uri="{FF2B5EF4-FFF2-40B4-BE49-F238E27FC236}">
                  <a16:creationId xmlns:a16="http://schemas.microsoft.com/office/drawing/2014/main" id="{00000000-0008-0000-03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47625</xdr:rowOff>
        </xdr:from>
        <xdr:to>
          <xdr:col>8</xdr:col>
          <xdr:colOff>0</xdr:colOff>
          <xdr:row>4</xdr:row>
          <xdr:rowOff>219075</xdr:rowOff>
        </xdr:to>
        <xdr:sp macro="" textlink="">
          <xdr:nvSpPr>
            <xdr:cNvPr id="1189" name="List Box 165" hidden="1">
              <a:extLst>
                <a:ext uri="{63B3BB69-23CF-44E3-9099-C40C66FF867C}">
                  <a14:compatExt spid="_x0000_s1189"/>
                </a:ext>
                <a:ext uri="{FF2B5EF4-FFF2-40B4-BE49-F238E27FC236}">
                  <a16:creationId xmlns:a16="http://schemas.microsoft.com/office/drawing/2014/main" id="{00000000-0008-0000-0300-0000A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885825</xdr:colOff>
          <xdr:row>4</xdr:row>
          <xdr:rowOff>0</xdr:rowOff>
        </xdr:from>
        <xdr:to>
          <xdr:col>10</xdr:col>
          <xdr:colOff>9525</xdr:colOff>
          <xdr:row>5</xdr:row>
          <xdr:rowOff>0</xdr:rowOff>
        </xdr:to>
        <xdr:sp macro="" textlink="">
          <xdr:nvSpPr>
            <xdr:cNvPr id="1289" name="Drop Down 265" hidden="1">
              <a:extLst>
                <a:ext uri="{63B3BB69-23CF-44E3-9099-C40C66FF867C}">
                  <a14:compatExt spid="_x0000_s1289"/>
                </a:ext>
                <a:ext uri="{FF2B5EF4-FFF2-40B4-BE49-F238E27FC236}">
                  <a16:creationId xmlns:a16="http://schemas.microsoft.com/office/drawing/2014/main" id="{00000000-0008-0000-0300-000009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149680</xdr:colOff>
      <xdr:row>4</xdr:row>
      <xdr:rowOff>81642</xdr:rowOff>
    </xdr:from>
    <xdr:to>
      <xdr:col>20</xdr:col>
      <xdr:colOff>285749</xdr:colOff>
      <xdr:row>24</xdr:row>
      <xdr:rowOff>54429</xdr:rowOff>
    </xdr:to>
    <xdr:graphicFrame macro="">
      <xdr:nvGraphicFramePr>
        <xdr:cNvPr id="4" name="Диаграмма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441033</xdr:colOff>
      <xdr:row>46</xdr:row>
      <xdr:rowOff>110778</xdr:rowOff>
    </xdr:from>
    <xdr:to>
      <xdr:col>19</xdr:col>
      <xdr:colOff>521073</xdr:colOff>
      <xdr:row>69</xdr:row>
      <xdr:rowOff>79082</xdr:rowOff>
    </xdr:to>
    <xdr:graphicFrame macro="">
      <xdr:nvGraphicFramePr>
        <xdr:cNvPr id="5" name="Диаграмма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dimension ref="A1:K106"/>
  <sheetViews>
    <sheetView workbookViewId="0">
      <selection activeCell="G18" sqref="G18"/>
    </sheetView>
  </sheetViews>
  <sheetFormatPr defaultRowHeight="12.75" x14ac:dyDescent="0.2"/>
  <cols>
    <col min="1" max="1" width="4.42578125" customWidth="1"/>
    <col min="2" max="2" width="10" customWidth="1"/>
    <col min="3" max="3" width="10.140625" customWidth="1"/>
    <col min="4" max="4" width="6" bestFit="1" customWidth="1"/>
    <col min="5" max="5" width="9" bestFit="1" customWidth="1"/>
    <col min="6" max="6" width="8" bestFit="1" customWidth="1"/>
    <col min="7" max="7" width="19.140625" customWidth="1"/>
    <col min="8" max="8" width="46.7109375" customWidth="1"/>
    <col min="9" max="9" width="13.7109375" customWidth="1"/>
    <col min="10" max="10" width="14.28515625" customWidth="1"/>
    <col min="11" max="11" width="7" customWidth="1"/>
  </cols>
  <sheetData>
    <row r="1" spans="1:11" x14ac:dyDescent="0.2">
      <c r="A1" t="s">
        <v>0</v>
      </c>
    </row>
    <row r="2" spans="1:11" x14ac:dyDescent="0.2">
      <c r="A2" t="s">
        <v>83</v>
      </c>
    </row>
    <row r="3" spans="1:11" x14ac:dyDescent="0.2">
      <c r="A3" s="53" t="s">
        <v>1</v>
      </c>
      <c r="B3" s="54" t="s">
        <v>51</v>
      </c>
      <c r="C3" s="54" t="s">
        <v>52</v>
      </c>
      <c r="D3" s="54" t="s">
        <v>53</v>
      </c>
      <c r="E3" s="54" t="s">
        <v>54</v>
      </c>
      <c r="F3" s="54" t="s">
        <v>55</v>
      </c>
      <c r="G3" s="54" t="s">
        <v>58</v>
      </c>
      <c r="H3" s="54" t="s">
        <v>84</v>
      </c>
      <c r="I3" s="54" t="s">
        <v>56</v>
      </c>
      <c r="J3" s="54" t="s">
        <v>57</v>
      </c>
      <c r="K3" s="55" t="s">
        <v>24</v>
      </c>
    </row>
    <row r="4" spans="1:11" ht="12" customHeight="1" x14ac:dyDescent="0.2">
      <c r="A4" s="56">
        <v>0</v>
      </c>
      <c r="B4" s="57">
        <v>1E+20</v>
      </c>
      <c r="C4" s="56">
        <v>0</v>
      </c>
      <c r="D4" s="56">
        <v>400</v>
      </c>
      <c r="E4" s="56">
        <v>1.1100000000000001</v>
      </c>
      <c r="F4" s="58">
        <v>1.0000000000000001E-5</v>
      </c>
      <c r="G4" s="57">
        <v>400000</v>
      </c>
      <c r="H4" s="59" t="s">
        <v>2</v>
      </c>
      <c r="I4" s="60">
        <f>2*E4*D4/(2*E4-1)</f>
        <v>727.86885245901635</v>
      </c>
      <c r="J4" s="61">
        <f t="shared" ref="J4:J67" si="0">(K4*D4/G4)^(1/(2*E4))</f>
        <v>45462954.695323914</v>
      </c>
      <c r="K4" s="62">
        <f>B4/((1+C4)^(2*E4))</f>
        <v>1E+20</v>
      </c>
    </row>
    <row r="5" spans="1:11" s="108" customFormat="1" ht="1.5" hidden="1" customHeight="1" x14ac:dyDescent="0.2">
      <c r="A5" s="102">
        <v>1</v>
      </c>
      <c r="B5" s="103">
        <v>3.05E+36</v>
      </c>
      <c r="C5" s="102">
        <v>1.012</v>
      </c>
      <c r="D5" s="102">
        <v>7350</v>
      </c>
      <c r="E5" s="102">
        <v>2.7771999999999699</v>
      </c>
      <c r="F5" s="102">
        <v>1.0000000000000001E-5</v>
      </c>
      <c r="G5" s="104">
        <v>101020</v>
      </c>
      <c r="H5" s="111" t="s">
        <v>85</v>
      </c>
      <c r="I5" s="105">
        <f t="shared" ref="I5:I68" si="1">2*E5*D5/(2*E5-1)</f>
        <v>8963.8239943790832</v>
      </c>
      <c r="J5" s="106">
        <f t="shared" si="0"/>
        <v>1148174.841445196</v>
      </c>
      <c r="K5" s="107">
        <f t="shared" ref="K5:K68" si="2">B5/((1+C5)^(2*E5))</f>
        <v>6.2781054685220949E+34</v>
      </c>
    </row>
    <row r="6" spans="1:11" s="124" customFormat="1" ht="15.75" customHeight="1" x14ac:dyDescent="0.2">
      <c r="A6" s="117">
        <v>2</v>
      </c>
      <c r="B6" s="118">
        <v>3.0999999999999999E+36</v>
      </c>
      <c r="C6" s="117">
        <v>1.024</v>
      </c>
      <c r="D6" s="117">
        <v>7370</v>
      </c>
      <c r="E6" s="117">
        <v>2.78829999999996</v>
      </c>
      <c r="F6" s="117">
        <v>1.0000000000000001E-5</v>
      </c>
      <c r="G6" s="119">
        <v>101040</v>
      </c>
      <c r="H6" s="120" t="s">
        <v>86</v>
      </c>
      <c r="I6" s="121">
        <f t="shared" si="1"/>
        <v>8980.3657737185094</v>
      </c>
      <c r="J6" s="122">
        <f t="shared" si="0"/>
        <v>1080326.2091186845</v>
      </c>
      <c r="K6" s="123">
        <f t="shared" si="2"/>
        <v>6.0778247591187063E+34</v>
      </c>
    </row>
    <row r="7" spans="1:11" s="108" customFormat="1" ht="15.75" customHeight="1" x14ac:dyDescent="0.2">
      <c r="A7" s="102">
        <v>3</v>
      </c>
      <c r="B7" s="103">
        <v>3.1499999999999999E+36</v>
      </c>
      <c r="C7" s="102">
        <v>1.036</v>
      </c>
      <c r="D7" s="102">
        <v>7390</v>
      </c>
      <c r="E7" s="102">
        <v>2.7993999999999502</v>
      </c>
      <c r="F7" s="102">
        <v>1.0000000000000001E-5</v>
      </c>
      <c r="G7" s="104">
        <v>101060</v>
      </c>
      <c r="H7" s="111" t="s">
        <v>87</v>
      </c>
      <c r="I7" s="105">
        <f t="shared" si="1"/>
        <v>8996.9409411151082</v>
      </c>
      <c r="J7" s="106">
        <f t="shared" si="0"/>
        <v>1016917.2506178399</v>
      </c>
      <c r="K7" s="107">
        <f t="shared" si="2"/>
        <v>5.8820072381464851E+34</v>
      </c>
    </row>
    <row r="8" spans="1:11" s="108" customFormat="1" ht="15.75" customHeight="1" x14ac:dyDescent="0.2">
      <c r="A8" s="102">
        <v>4</v>
      </c>
      <c r="B8" s="103">
        <v>3.1999999999999999E+36</v>
      </c>
      <c r="C8" s="102">
        <v>1.048</v>
      </c>
      <c r="D8" s="102">
        <v>7410</v>
      </c>
      <c r="E8" s="102">
        <v>2.8104999999999398</v>
      </c>
      <c r="F8" s="102">
        <v>1.0000000000000001E-5</v>
      </c>
      <c r="G8" s="104">
        <v>101080</v>
      </c>
      <c r="H8" s="111" t="s">
        <v>88</v>
      </c>
      <c r="I8" s="105">
        <f t="shared" si="1"/>
        <v>9013.5490153646806</v>
      </c>
      <c r="J8" s="106">
        <f t="shared" si="0"/>
        <v>957631.87444918393</v>
      </c>
      <c r="K8" s="107">
        <f t="shared" si="2"/>
        <v>5.6906819851606197E+34</v>
      </c>
    </row>
    <row r="9" spans="1:11" s="108" customFormat="1" ht="15.75" customHeight="1" x14ac:dyDescent="0.2">
      <c r="A9" s="102">
        <v>5</v>
      </c>
      <c r="B9" s="103">
        <v>3.2499999999999999E+36</v>
      </c>
      <c r="C9" s="102">
        <v>1.06</v>
      </c>
      <c r="D9" s="102">
        <v>7430</v>
      </c>
      <c r="E9" s="102">
        <v>2.8215999999999299</v>
      </c>
      <c r="F9" s="102">
        <v>1.0000000000000001E-5</v>
      </c>
      <c r="G9" s="104">
        <v>101100</v>
      </c>
      <c r="H9" s="111" t="s">
        <v>89</v>
      </c>
      <c r="I9" s="105">
        <f t="shared" si="1"/>
        <v>9030.1895244659354</v>
      </c>
      <c r="J9" s="106">
        <f t="shared" si="0"/>
        <v>902178.14544177451</v>
      </c>
      <c r="K9" s="107">
        <f t="shared" si="2"/>
        <v>5.5038661418898251E+34</v>
      </c>
    </row>
    <row r="10" spans="1:11" s="108" customFormat="1" ht="15.75" customHeight="1" x14ac:dyDescent="0.2">
      <c r="A10" s="102">
        <v>6</v>
      </c>
      <c r="B10" s="103">
        <v>3.2999999999999999E+36</v>
      </c>
      <c r="C10" s="102">
        <v>1.0720000000000001</v>
      </c>
      <c r="D10" s="102">
        <v>7450</v>
      </c>
      <c r="E10" s="102">
        <v>2.8326999999999201</v>
      </c>
      <c r="F10" s="102">
        <v>1.0000000000000001E-5</v>
      </c>
      <c r="G10" s="104">
        <v>101120</v>
      </c>
      <c r="H10" s="111" t="s">
        <v>90</v>
      </c>
      <c r="I10" s="105">
        <f t="shared" si="1"/>
        <v>9046.8620054015209</v>
      </c>
      <c r="J10" s="106">
        <f t="shared" si="0"/>
        <v>850286.32614066824</v>
      </c>
      <c r="K10" s="107">
        <f t="shared" si="2"/>
        <v>5.3215658939965351E+34</v>
      </c>
    </row>
    <row r="11" spans="1:11" s="108" customFormat="1" ht="15.75" customHeight="1" x14ac:dyDescent="0.2">
      <c r="A11" s="102">
        <v>7</v>
      </c>
      <c r="B11" s="103">
        <v>3.3499999999999998E+36</v>
      </c>
      <c r="C11" s="102">
        <v>1.0840000000000001</v>
      </c>
      <c r="D11" s="102">
        <v>7470</v>
      </c>
      <c r="E11" s="102">
        <v>2.8437999999999102</v>
      </c>
      <c r="F11" s="102">
        <v>1.0000000000000001E-5</v>
      </c>
      <c r="G11" s="104">
        <v>101140</v>
      </c>
      <c r="H11" s="111" t="s">
        <v>91</v>
      </c>
      <c r="I11" s="105">
        <f t="shared" si="1"/>
        <v>9063.5660039253107</v>
      </c>
      <c r="J11" s="106">
        <f t="shared" si="0"/>
        <v>801707.08480953577</v>
      </c>
      <c r="K11" s="107">
        <f t="shared" si="2"/>
        <v>5.1437773922844837E+34</v>
      </c>
    </row>
    <row r="12" spans="1:11" s="108" customFormat="1" ht="15.75" customHeight="1" x14ac:dyDescent="0.2">
      <c r="A12" s="102">
        <v>8</v>
      </c>
      <c r="B12" s="103">
        <v>3.3999999999999998E+36</v>
      </c>
      <c r="C12" s="102">
        <v>1.0960000000000001</v>
      </c>
      <c r="D12" s="102">
        <v>7490</v>
      </c>
      <c r="E12" s="102">
        <v>2.8548999999998999</v>
      </c>
      <c r="F12" s="102">
        <v>1.0000000000000001E-5</v>
      </c>
      <c r="G12" s="104">
        <v>101160</v>
      </c>
      <c r="H12" s="111" t="s">
        <v>92</v>
      </c>
      <c r="I12" s="105">
        <f t="shared" si="1"/>
        <v>9080.3010743556679</v>
      </c>
      <c r="J12" s="106">
        <f t="shared" si="0"/>
        <v>756209.85535602528</v>
      </c>
      <c r="K12" s="107">
        <f t="shared" si="2"/>
        <v>4.9704876165806217E+34</v>
      </c>
    </row>
    <row r="13" spans="1:11" s="108" customFormat="1" ht="15.75" customHeight="1" x14ac:dyDescent="0.2">
      <c r="A13" s="102">
        <v>9</v>
      </c>
      <c r="B13" s="103">
        <v>3.4499999999999998E+36</v>
      </c>
      <c r="C13" s="102">
        <v>1.1080000000000001</v>
      </c>
      <c r="D13" s="102">
        <v>7510</v>
      </c>
      <c r="E13" s="102">
        <v>2.86599999999989</v>
      </c>
      <c r="F13" s="102">
        <v>1.0000000000000001E-5</v>
      </c>
      <c r="G13" s="104">
        <v>101180</v>
      </c>
      <c r="H13" s="111" t="s">
        <v>93</v>
      </c>
      <c r="I13" s="105">
        <f t="shared" si="1"/>
        <v>9097.0667793745451</v>
      </c>
      <c r="J13" s="106">
        <f t="shared" si="0"/>
        <v>713581.33581329416</v>
      </c>
      <c r="K13" s="107">
        <f t="shared" si="2"/>
        <v>4.8016751853612302E+34</v>
      </c>
    </row>
    <row r="14" spans="1:11" s="108" customFormat="1" ht="15.75" customHeight="1" x14ac:dyDescent="0.2">
      <c r="A14" s="102">
        <v>10</v>
      </c>
      <c r="B14" s="103">
        <v>3.4999999999999998E+36</v>
      </c>
      <c r="C14" s="102">
        <v>1.1200000000000001</v>
      </c>
      <c r="D14" s="102">
        <v>7530</v>
      </c>
      <c r="E14" s="102">
        <v>2.8770999999998801</v>
      </c>
      <c r="F14" s="102">
        <v>1.0000000000000001E-5</v>
      </c>
      <c r="G14" s="104">
        <v>101200</v>
      </c>
      <c r="H14" s="111" t="s">
        <v>94</v>
      </c>
      <c r="I14" s="105">
        <f t="shared" si="1"/>
        <v>9113.8626898322273</v>
      </c>
      <c r="J14" s="106">
        <f t="shared" si="0"/>
        <v>673624.11321357719</v>
      </c>
      <c r="K14" s="107">
        <f t="shared" si="2"/>
        <v>4.6373111140432745E+34</v>
      </c>
    </row>
    <row r="15" spans="1:11" s="108" customFormat="1" ht="15.75" customHeight="1" x14ac:dyDescent="0.2">
      <c r="A15" s="102">
        <v>11</v>
      </c>
      <c r="B15" s="103">
        <v>3.5499999999999998E+36</v>
      </c>
      <c r="C15" s="102">
        <v>1.1319999999999999</v>
      </c>
      <c r="D15" s="102">
        <v>7550</v>
      </c>
      <c r="E15" s="102">
        <v>2.8881999999998702</v>
      </c>
      <c r="F15" s="102">
        <v>1.0000000000000001E-5</v>
      </c>
      <c r="G15" s="104">
        <v>101220</v>
      </c>
      <c r="H15" s="111" t="s">
        <v>95</v>
      </c>
      <c r="I15" s="105">
        <f t="shared" si="1"/>
        <v>9130.6883845574939</v>
      </c>
      <c r="J15" s="106">
        <f t="shared" si="0"/>
        <v>636155.40378360823</v>
      </c>
      <c r="K15" s="107">
        <f t="shared" si="2"/>
        <v>4.4773595247191657E+34</v>
      </c>
    </row>
    <row r="16" spans="1:11" s="108" customFormat="1" ht="15.75" customHeight="1" x14ac:dyDescent="0.2">
      <c r="A16" s="102">
        <v>12</v>
      </c>
      <c r="B16" s="103">
        <v>3.5999999999999997E+36</v>
      </c>
      <c r="C16" s="102">
        <v>1.1439999999999999</v>
      </c>
      <c r="D16" s="102">
        <v>7570</v>
      </c>
      <c r="E16" s="102">
        <v>2.8992999999998599</v>
      </c>
      <c r="F16" s="102">
        <v>1.0000000000000001E-5</v>
      </c>
      <c r="G16" s="104">
        <v>101240</v>
      </c>
      <c r="H16" s="111" t="s">
        <v>96</v>
      </c>
      <c r="I16" s="105">
        <f t="shared" si="1"/>
        <v>9147.5434501730597</v>
      </c>
      <c r="J16" s="106">
        <f t="shared" si="0"/>
        <v>601005.89838730998</v>
      </c>
      <c r="K16" s="107">
        <f t="shared" si="2"/>
        <v>4.3217783099774785E+34</v>
      </c>
    </row>
    <row r="17" spans="1:11" s="108" customFormat="1" ht="15.75" customHeight="1" x14ac:dyDescent="0.2">
      <c r="A17" s="102">
        <v>13</v>
      </c>
      <c r="B17" s="103">
        <v>3.6499999999999997E+36</v>
      </c>
      <c r="C17" s="102">
        <v>1.1559999999999999</v>
      </c>
      <c r="D17" s="102">
        <v>7590</v>
      </c>
      <c r="E17" s="102">
        <v>2.91039999999985</v>
      </c>
      <c r="F17" s="102">
        <v>1.0000000000000001E-5</v>
      </c>
      <c r="G17" s="104">
        <v>101260</v>
      </c>
      <c r="H17" s="111" t="s">
        <v>97</v>
      </c>
      <c r="I17" s="105">
        <f t="shared" si="1"/>
        <v>9164.4274809161288</v>
      </c>
      <c r="J17" s="106">
        <f t="shared" si="0"/>
        <v>568018.70404640539</v>
      </c>
      <c r="K17" s="107">
        <f t="shared" si="2"/>
        <v>4.1705197533225364E+34</v>
      </c>
    </row>
    <row r="18" spans="1:11" s="108" customFormat="1" ht="15.75" customHeight="1" x14ac:dyDescent="0.2">
      <c r="A18" s="102">
        <v>14</v>
      </c>
      <c r="B18" s="103">
        <v>3.7000000000000003E+36</v>
      </c>
      <c r="C18" s="102">
        <v>1.1679999999999999</v>
      </c>
      <c r="D18" s="102">
        <v>7610</v>
      </c>
      <c r="E18" s="102">
        <v>2.9214999999998401</v>
      </c>
      <c r="F18" s="102">
        <v>1.0000000000000001E-5</v>
      </c>
      <c r="G18" s="104">
        <v>101280</v>
      </c>
      <c r="H18" s="111" t="s">
        <v>98</v>
      </c>
      <c r="I18" s="105">
        <f t="shared" si="1"/>
        <v>9181.3400784638652</v>
      </c>
      <c r="J18" s="106">
        <f t="shared" si="0"/>
        <v>537048.37319273863</v>
      </c>
      <c r="K18" s="107">
        <f t="shared" si="2"/>
        <v>4.0235311085818958E+34</v>
      </c>
    </row>
    <row r="19" spans="1:11" s="108" customFormat="1" ht="15.75" customHeight="1" x14ac:dyDescent="0.2">
      <c r="A19" s="102">
        <v>15</v>
      </c>
      <c r="B19" s="103">
        <v>3.7500000000000003E+36</v>
      </c>
      <c r="C19" s="102">
        <v>1.18</v>
      </c>
      <c r="D19" s="102">
        <v>7630</v>
      </c>
      <c r="E19" s="102">
        <v>2.9325999999998298</v>
      </c>
      <c r="F19" s="102">
        <v>1.0000000000000001E-5</v>
      </c>
      <c r="G19" s="104">
        <v>101300</v>
      </c>
      <c r="H19" s="116" t="s">
        <v>99</v>
      </c>
      <c r="I19" s="105">
        <f t="shared" si="1"/>
        <v>9198.2808517636549</v>
      </c>
      <c r="J19" s="106">
        <f t="shared" si="0"/>
        <v>507960.01305431232</v>
      </c>
      <c r="K19" s="107">
        <f t="shared" si="2"/>
        <v>3.8807551405731128E+34</v>
      </c>
    </row>
    <row r="20" spans="1:11" s="108" customFormat="1" ht="15.75" customHeight="1" x14ac:dyDescent="0.2">
      <c r="A20" s="102">
        <v>16</v>
      </c>
      <c r="B20" s="103">
        <v>3.8000000000000002E+36</v>
      </c>
      <c r="C20" s="102">
        <v>1.1919999999999999</v>
      </c>
      <c r="D20" s="102">
        <v>7650</v>
      </c>
      <c r="E20" s="102">
        <v>2.9436999999998199</v>
      </c>
      <c r="F20" s="102">
        <v>1.0000000000000001E-5</v>
      </c>
      <c r="G20" s="104">
        <v>101320</v>
      </c>
      <c r="H20" s="116" t="s">
        <v>100</v>
      </c>
      <c r="I20" s="105">
        <f t="shared" si="1"/>
        <v>9215.2494168679787</v>
      </c>
      <c r="J20" s="106">
        <f t="shared" si="0"/>
        <v>480628.46825707681</v>
      </c>
      <c r="K20" s="107">
        <f t="shared" si="2"/>
        <v>3.7421306291882226E+34</v>
      </c>
    </row>
    <row r="21" spans="1:11" s="108" customFormat="1" ht="15.75" customHeight="1" x14ac:dyDescent="0.2">
      <c r="A21" s="102">
        <v>17</v>
      </c>
      <c r="B21" s="103">
        <v>3.8500000000000002E+36</v>
      </c>
      <c r="C21" s="102">
        <v>1.204</v>
      </c>
      <c r="D21" s="102">
        <v>7670</v>
      </c>
      <c r="E21" s="102">
        <v>2.95479999999981</v>
      </c>
      <c r="F21" s="102">
        <v>1.0000000000000001E-5</v>
      </c>
      <c r="G21" s="104">
        <v>101340</v>
      </c>
      <c r="H21" s="116" t="s">
        <v>101</v>
      </c>
      <c r="I21" s="105">
        <f t="shared" si="1"/>
        <v>9232.2453967737893</v>
      </c>
      <c r="J21" s="106">
        <f t="shared" si="0"/>
        <v>454937.57034262834</v>
      </c>
      <c r="K21" s="107">
        <f t="shared" si="2"/>
        <v>3.6075928389475779E+34</v>
      </c>
    </row>
    <row r="22" spans="1:11" s="108" customFormat="1" ht="15.75" customHeight="1" x14ac:dyDescent="0.2">
      <c r="A22" s="102">
        <v>18</v>
      </c>
      <c r="B22" s="103">
        <v>3.9000000000000002E+36</v>
      </c>
      <c r="C22" s="102">
        <v>1.216</v>
      </c>
      <c r="D22" s="102">
        <v>7690</v>
      </c>
      <c r="E22" s="102">
        <v>2.9658999999998001</v>
      </c>
      <c r="F22" s="102">
        <v>1.0000000000000001E-5</v>
      </c>
      <c r="G22" s="104">
        <v>101360</v>
      </c>
      <c r="H22" s="116" t="s">
        <v>102</v>
      </c>
      <c r="I22" s="105">
        <f t="shared" si="1"/>
        <v>9249.2684212661952</v>
      </c>
      <c r="J22" s="106">
        <f t="shared" si="0"/>
        <v>430779.44846353366</v>
      </c>
      <c r="K22" s="107">
        <f t="shared" si="2"/>
        <v>3.4770739559715872E+34</v>
      </c>
    </row>
    <row r="23" spans="1:11" s="108" customFormat="1" ht="15.75" customHeight="1" x14ac:dyDescent="0.2">
      <c r="A23" s="102">
        <v>19</v>
      </c>
      <c r="B23" s="103">
        <v>3.9500000000000002E+36</v>
      </c>
      <c r="C23" s="102">
        <v>1.228</v>
      </c>
      <c r="D23" s="102">
        <v>7710</v>
      </c>
      <c r="E23" s="102">
        <v>2.9769999999997898</v>
      </c>
      <c r="F23" s="102">
        <v>1.0000000000000001E-5</v>
      </c>
      <c r="G23" s="104">
        <v>101380</v>
      </c>
      <c r="H23" s="116" t="s">
        <v>103</v>
      </c>
      <c r="I23" s="105">
        <f t="shared" si="1"/>
        <v>9266.3181267663822</v>
      </c>
      <c r="J23" s="106">
        <f t="shared" si="0"/>
        <v>408053.89602854248</v>
      </c>
      <c r="K23" s="107">
        <f t="shared" si="2"/>
        <v>3.35050349422198E+34</v>
      </c>
    </row>
    <row r="24" spans="1:11" s="108" customFormat="1" ht="15.75" customHeight="1" x14ac:dyDescent="0.2">
      <c r="A24" s="102">
        <v>20</v>
      </c>
      <c r="B24" s="103">
        <v>4.0000000000000002E+36</v>
      </c>
      <c r="C24" s="102">
        <v>1.24</v>
      </c>
      <c r="D24" s="102">
        <v>7730</v>
      </c>
      <c r="E24" s="102">
        <v>2.9880999999997799</v>
      </c>
      <c r="F24" s="102">
        <v>1.0000000000000001E-5</v>
      </c>
      <c r="G24" s="104">
        <v>101400</v>
      </c>
      <c r="H24" s="116" t="s">
        <v>104</v>
      </c>
      <c r="I24" s="105">
        <f t="shared" si="1"/>
        <v>9283.3941561835709</v>
      </c>
      <c r="J24" s="106">
        <f t="shared" si="0"/>
        <v>386667.78853374068</v>
      </c>
      <c r="K24" s="107">
        <f t="shared" si="2"/>
        <v>3.2278086727703439E+34</v>
      </c>
    </row>
    <row r="25" spans="1:11" s="108" customFormat="1" ht="15.75" customHeight="1" x14ac:dyDescent="0.2">
      <c r="A25" s="102">
        <v>21</v>
      </c>
      <c r="B25" s="103">
        <v>4.0500000000000001E+36</v>
      </c>
      <c r="C25" s="102">
        <v>1.252</v>
      </c>
      <c r="D25" s="102">
        <v>7750</v>
      </c>
      <c r="E25" s="102">
        <v>2.99919999999977</v>
      </c>
      <c r="F25" s="102">
        <v>1.0000000000000001E-5</v>
      </c>
      <c r="G25" s="104">
        <v>101420</v>
      </c>
      <c r="H25" s="116" t="s">
        <v>105</v>
      </c>
      <c r="I25" s="105">
        <f t="shared" si="1"/>
        <v>9300.4961587709495</v>
      </c>
      <c r="J25" s="106">
        <f t="shared" si="0"/>
        <v>366534.54823742952</v>
      </c>
      <c r="K25" s="107">
        <f t="shared" si="2"/>
        <v>3.1089147657635384E+34</v>
      </c>
    </row>
    <row r="26" spans="1:11" s="108" customFormat="1" ht="15.75" customHeight="1" x14ac:dyDescent="0.2">
      <c r="A26" s="102">
        <v>22</v>
      </c>
      <c r="B26" s="103">
        <v>4.1000000000000001E+36</v>
      </c>
      <c r="C26" s="102">
        <v>1.264</v>
      </c>
      <c r="D26" s="102">
        <v>7770</v>
      </c>
      <c r="E26" s="102">
        <v>3.0102999999997602</v>
      </c>
      <c r="F26" s="102">
        <v>1.0000000000000001E-5</v>
      </c>
      <c r="G26" s="104">
        <v>101440</v>
      </c>
      <c r="H26" s="116" t="s">
        <v>106</v>
      </c>
      <c r="I26" s="105">
        <f t="shared" si="1"/>
        <v>9317.6237899854077</v>
      </c>
      <c r="J26" s="106">
        <f t="shared" si="0"/>
        <v>347573.65171968896</v>
      </c>
      <c r="K26" s="107">
        <f t="shared" si="2"/>
        <v>2.9937454266702035E+34</v>
      </c>
    </row>
    <row r="27" spans="1:11" s="108" customFormat="1" ht="15.75" customHeight="1" x14ac:dyDescent="0.2">
      <c r="A27" s="102">
        <v>23</v>
      </c>
      <c r="B27" s="103">
        <v>4.1500000000000001E+36</v>
      </c>
      <c r="C27" s="102">
        <v>1.276</v>
      </c>
      <c r="D27" s="102">
        <v>7790</v>
      </c>
      <c r="E27" s="102">
        <v>3.0213999999997498</v>
      </c>
      <c r="F27" s="102">
        <v>1.0000000000000001E-5</v>
      </c>
      <c r="G27" s="104">
        <v>101460</v>
      </c>
      <c r="H27" s="109"/>
      <c r="I27" s="105">
        <f t="shared" si="1"/>
        <v>9334.7767113509908</v>
      </c>
      <c r="J27" s="106">
        <f t="shared" si="0"/>
        <v>329710.17671605176</v>
      </c>
      <c r="K27" s="107">
        <f t="shared" si="2"/>
        <v>2.8822229883124427E+34</v>
      </c>
    </row>
    <row r="28" spans="1:11" s="108" customFormat="1" ht="15.75" customHeight="1" x14ac:dyDescent="0.2">
      <c r="A28" s="102">
        <v>24</v>
      </c>
      <c r="B28" s="103">
        <v>4.2000000000000001E+36</v>
      </c>
      <c r="C28" s="102">
        <v>1.288</v>
      </c>
      <c r="D28" s="102">
        <v>7810</v>
      </c>
      <c r="E28" s="102">
        <v>3.03249999999974</v>
      </c>
      <c r="F28" s="102">
        <v>1.0000000000000001E-5</v>
      </c>
      <c r="G28" s="104">
        <v>101480</v>
      </c>
      <c r="H28" s="109"/>
      <c r="I28" s="105">
        <f t="shared" si="1"/>
        <v>9351.9545903259241</v>
      </c>
      <c r="J28" s="106">
        <f t="shared" si="0"/>
        <v>312874.38493150059</v>
      </c>
      <c r="K28" s="107">
        <f t="shared" si="2"/>
        <v>2.7742687401091655E+34</v>
      </c>
    </row>
    <row r="29" spans="1:11" s="108" customFormat="1" ht="15.75" customHeight="1" x14ac:dyDescent="0.2">
      <c r="A29" s="102">
        <v>25</v>
      </c>
      <c r="B29" s="103">
        <v>4.2500000000000001E+36</v>
      </c>
      <c r="C29" s="102">
        <v>1.3</v>
      </c>
      <c r="D29" s="102">
        <v>7830</v>
      </c>
      <c r="E29" s="102">
        <v>3.0435999999997301</v>
      </c>
      <c r="F29" s="102">
        <v>1.0000000000000001E-5</v>
      </c>
      <c r="G29" s="104">
        <v>101500</v>
      </c>
      <c r="H29" s="109"/>
      <c r="I29" s="105">
        <f t="shared" si="1"/>
        <v>9369.1571001731463</v>
      </c>
      <c r="J29" s="106">
        <f t="shared" si="0"/>
        <v>297001.33782913344</v>
      </c>
      <c r="K29" s="107">
        <f t="shared" si="2"/>
        <v>2.6698031838847231E+34</v>
      </c>
    </row>
    <row r="30" spans="1:11" ht="15.75" customHeight="1" x14ac:dyDescent="0.2">
      <c r="A30" s="102">
        <v>26</v>
      </c>
      <c r="B30" s="103">
        <v>4.3E+36</v>
      </c>
      <c r="C30" s="102">
        <v>1.3120000000000001</v>
      </c>
      <c r="D30" s="102">
        <v>7850</v>
      </c>
      <c r="E30" s="102">
        <v>3.0546999999997202</v>
      </c>
      <c r="F30" s="102">
        <v>1.0000000000000001E-5</v>
      </c>
      <c r="G30" s="104">
        <v>101520</v>
      </c>
      <c r="H30" s="109"/>
      <c r="I30" s="105">
        <f t="shared" si="1"/>
        <v>9386.3839198341993</v>
      </c>
      <c r="J30" s="106">
        <f t="shared" si="0"/>
        <v>282030.54264985252</v>
      </c>
      <c r="K30" s="107">
        <f t="shared" si="2"/>
        <v>2.5687462695259001E+34</v>
      </c>
    </row>
    <row r="31" spans="1:11" ht="15.75" customHeight="1" x14ac:dyDescent="0.2">
      <c r="A31" s="102">
        <v>27</v>
      </c>
      <c r="B31" s="103">
        <v>4.35E+36</v>
      </c>
      <c r="C31" s="102">
        <v>1.3240000000000001</v>
      </c>
      <c r="D31" s="102">
        <v>7870</v>
      </c>
      <c r="E31" s="102">
        <v>3.0657999999997099</v>
      </c>
      <c r="F31" s="102">
        <v>1.0000000000000001E-5</v>
      </c>
      <c r="G31" s="104">
        <v>101540</v>
      </c>
      <c r="H31" s="109"/>
      <c r="I31" s="105">
        <f t="shared" si="1"/>
        <v>9403.6347338063933</v>
      </c>
      <c r="J31" s="106">
        <f t="shared" si="0"/>
        <v>267905.62615790428</v>
      </c>
      <c r="K31" s="107">
        <f t="shared" si="2"/>
        <v>2.4710176117042671E+34</v>
      </c>
    </row>
    <row r="32" spans="1:11" ht="15.75" customHeight="1" x14ac:dyDescent="0.2">
      <c r="A32" s="102">
        <v>28</v>
      </c>
      <c r="B32" s="103">
        <v>4.4E+36</v>
      </c>
      <c r="C32" s="102">
        <v>1.3360000000000001</v>
      </c>
      <c r="D32" s="102">
        <v>7890</v>
      </c>
      <c r="E32" s="102">
        <v>3.0768999999997</v>
      </c>
      <c r="F32" s="102">
        <v>1.0000000000000001E-5</v>
      </c>
      <c r="G32" s="104">
        <v>101560</v>
      </c>
      <c r="H32" s="109"/>
      <c r="I32" s="105">
        <f t="shared" si="1"/>
        <v>9420.9092320231521</v>
      </c>
      <c r="J32" s="106">
        <f t="shared" si="0"/>
        <v>254574.03382403826</v>
      </c>
      <c r="K32" s="107">
        <f t="shared" si="2"/>
        <v>2.3765366888167181E+34</v>
      </c>
    </row>
    <row r="33" spans="1:11" ht="15.75" customHeight="1" x14ac:dyDescent="0.2">
      <c r="A33" s="102">
        <v>29</v>
      </c>
      <c r="B33" s="103">
        <v>4.45E+36</v>
      </c>
      <c r="C33" s="102">
        <v>1.3480000000000001</v>
      </c>
      <c r="D33" s="102">
        <v>7910</v>
      </c>
      <c r="E33" s="102">
        <v>3.0879999999996901</v>
      </c>
      <c r="F33" s="102">
        <v>1.0000000000000001E-5</v>
      </c>
      <c r="G33" s="104">
        <v>101580</v>
      </c>
      <c r="H33" s="109"/>
      <c r="I33" s="105">
        <f t="shared" si="1"/>
        <v>9438.2071097374319</v>
      </c>
      <c r="J33" s="106">
        <f t="shared" si="0"/>
        <v>241986.7523555253</v>
      </c>
      <c r="K33" s="107">
        <f t="shared" si="2"/>
        <v>2.285223025237058E+34</v>
      </c>
    </row>
    <row r="34" spans="1:11" ht="15.75" customHeight="1" x14ac:dyDescent="0.2">
      <c r="A34" s="102">
        <v>30</v>
      </c>
      <c r="B34" s="103">
        <v>4.5E+36</v>
      </c>
      <c r="C34" s="102">
        <v>1.36</v>
      </c>
      <c r="D34" s="102">
        <v>7930</v>
      </c>
      <c r="E34" s="102">
        <v>3.0990999999996802</v>
      </c>
      <c r="F34" s="102">
        <v>1.0000000000000001E-5</v>
      </c>
      <c r="G34" s="104">
        <v>101600</v>
      </c>
      <c r="H34" s="109"/>
      <c r="I34" s="105">
        <f t="shared" si="1"/>
        <v>9455.5280674081368</v>
      </c>
      <c r="J34" s="106">
        <f t="shared" si="0"/>
        <v>230098.05366210948</v>
      </c>
      <c r="K34" s="107">
        <f t="shared" si="2"/>
        <v>2.1969963579132892E+34</v>
      </c>
    </row>
    <row r="35" spans="1:11" ht="15.75" customHeight="1" x14ac:dyDescent="0.2">
      <c r="A35" s="102">
        <v>31</v>
      </c>
      <c r="B35" s="103">
        <v>4.5499999999999999E+36</v>
      </c>
      <c r="C35" s="102">
        <v>1.3720000000000001</v>
      </c>
      <c r="D35" s="102">
        <v>7950</v>
      </c>
      <c r="E35" s="102">
        <v>3.1101999999996699</v>
      </c>
      <c r="F35" s="102">
        <v>1.0000000000000001E-5</v>
      </c>
      <c r="G35" s="104">
        <v>101620</v>
      </c>
      <c r="H35" s="109"/>
      <c r="I35" s="105">
        <f t="shared" si="1"/>
        <v>9472.8718105894204</v>
      </c>
      <c r="J35" s="106">
        <f t="shared" si="0"/>
        <v>218865.25851068742</v>
      </c>
      <c r="K35" s="107">
        <f t="shared" si="2"/>
        <v>2.1117767882907691E+34</v>
      </c>
    </row>
    <row r="36" spans="1:11" ht="15.75" customHeight="1" x14ac:dyDescent="0.2">
      <c r="A36" s="102">
        <v>32</v>
      </c>
      <c r="B36" s="103">
        <v>4.5999999999999999E+36</v>
      </c>
      <c r="C36" s="102">
        <v>1.3839999999999999</v>
      </c>
      <c r="D36" s="102">
        <v>7970</v>
      </c>
      <c r="E36" s="102">
        <v>3.12129999999966</v>
      </c>
      <c r="F36" s="102">
        <v>1.0000000000000001E-5</v>
      </c>
      <c r="G36" s="104">
        <v>101640</v>
      </c>
      <c r="H36" s="109"/>
      <c r="I36" s="105">
        <f t="shared" si="1"/>
        <v>9490.2380498228049</v>
      </c>
      <c r="J36" s="106">
        <f t="shared" si="0"/>
        <v>208248.51827068924</v>
      </c>
      <c r="K36" s="107">
        <f t="shared" si="2"/>
        <v>2.0294849204887115E+34</v>
      </c>
    </row>
    <row r="37" spans="1:11" ht="15.75" customHeight="1" x14ac:dyDescent="0.2">
      <c r="A37" s="102">
        <v>33</v>
      </c>
      <c r="B37" s="103">
        <v>4.6499999999999999E+36</v>
      </c>
      <c r="C37" s="102">
        <v>1.3959999999999999</v>
      </c>
      <c r="D37" s="102">
        <v>7990</v>
      </c>
      <c r="E37" s="102">
        <v>3.1323999999996501</v>
      </c>
      <c r="F37" s="102">
        <v>1.0000000000000001E-5</v>
      </c>
      <c r="G37" s="104">
        <v>101660</v>
      </c>
      <c r="H37" s="109"/>
      <c r="I37" s="105">
        <f t="shared" si="1"/>
        <v>9507.6265005320365</v>
      </c>
      <c r="J37" s="106">
        <f t="shared" si="0"/>
        <v>198210.61328806687</v>
      </c>
      <c r="K37" s="107">
        <f t="shared" si="2"/>
        <v>1.9500419866080046E+34</v>
      </c>
    </row>
    <row r="38" spans="1:11" ht="15.75" customHeight="1" x14ac:dyDescent="0.2">
      <c r="A38" s="102">
        <v>34</v>
      </c>
      <c r="B38" s="103">
        <v>4.6999999999999999E+36</v>
      </c>
      <c r="C38" s="102">
        <v>1.4079999999999999</v>
      </c>
      <c r="D38" s="102">
        <v>8010</v>
      </c>
      <c r="E38" s="102">
        <v>3.1434999999996398</v>
      </c>
      <c r="F38" s="102">
        <v>1.0000000000000001E-5</v>
      </c>
      <c r="G38" s="104">
        <v>101680</v>
      </c>
      <c r="H38" s="109"/>
      <c r="I38" s="105">
        <f t="shared" si="1"/>
        <v>9525.0368829205781</v>
      </c>
      <c r="J38" s="106">
        <f t="shared" si="0"/>
        <v>188716.76654967258</v>
      </c>
      <c r="K38" s="107">
        <f t="shared" si="2"/>
        <v>1.8733699600006368E+34</v>
      </c>
    </row>
    <row r="39" spans="1:11" ht="15.75" customHeight="1" x14ac:dyDescent="0.2">
      <c r="A39" s="102">
        <v>35</v>
      </c>
      <c r="B39" s="103">
        <v>4.7499999999999999E+36</v>
      </c>
      <c r="C39" s="102">
        <v>1.42</v>
      </c>
      <c r="D39" s="102">
        <v>8030</v>
      </c>
      <c r="E39" s="102">
        <v>3.1545999999996299</v>
      </c>
      <c r="F39" s="102">
        <v>1.0000000000000001E-5</v>
      </c>
      <c r="G39" s="104">
        <v>101700</v>
      </c>
      <c r="H39" s="109"/>
      <c r="I39" s="105">
        <f t="shared" si="1"/>
        <v>9542.4689218716794</v>
      </c>
      <c r="J39" s="106">
        <f t="shared" si="0"/>
        <v>179734.47141279813</v>
      </c>
      <c r="K39" s="107">
        <f t="shared" si="2"/>
        <v>1.7993916572860632E+34</v>
      </c>
    </row>
    <row r="40" spans="1:11" ht="15.75" customHeight="1" x14ac:dyDescent="0.2">
      <c r="A40" s="102">
        <v>36</v>
      </c>
      <c r="B40" s="103">
        <v>4.7999999999999998E+36</v>
      </c>
      <c r="C40" s="102">
        <v>1.4319999999999999</v>
      </c>
      <c r="D40" s="102">
        <v>8050</v>
      </c>
      <c r="E40" s="102">
        <v>3.16569999999962</v>
      </c>
      <c r="F40" s="102">
        <v>1.0000000000000001E-5</v>
      </c>
      <c r="G40" s="104">
        <v>101720</v>
      </c>
      <c r="H40" s="109"/>
      <c r="I40" s="105">
        <f t="shared" si="1"/>
        <v>9559.9223468509499</v>
      </c>
      <c r="J40" s="106">
        <f t="shared" si="0"/>
        <v>171233.33227765799</v>
      </c>
      <c r="K40" s="107">
        <f t="shared" si="2"/>
        <v>1.7280308298568448E+34</v>
      </c>
    </row>
    <row r="41" spans="1:11" ht="15.75" customHeight="1" x14ac:dyDescent="0.2">
      <c r="A41" s="102">
        <v>37</v>
      </c>
      <c r="B41" s="103">
        <v>4.8499999999999998E+36</v>
      </c>
      <c r="C41" s="102">
        <v>1.444</v>
      </c>
      <c r="D41" s="102">
        <v>8070</v>
      </c>
      <c r="E41" s="102">
        <v>3.1767999999996102</v>
      </c>
      <c r="F41" s="102">
        <v>1.0000000000000001E-5</v>
      </c>
      <c r="G41" s="104">
        <v>101740</v>
      </c>
      <c r="H41" s="109"/>
      <c r="I41" s="105">
        <f t="shared" si="1"/>
        <v>9577.3968918113369</v>
      </c>
      <c r="J41" s="106">
        <f t="shared" si="0"/>
        <v>163184.9171746046</v>
      </c>
      <c r="K41" s="107">
        <f t="shared" si="2"/>
        <v>1.6592122455749619E+34</v>
      </c>
    </row>
    <row r="42" spans="1:11" ht="15.75" customHeight="1" x14ac:dyDescent="0.2">
      <c r="A42" s="102">
        <v>38</v>
      </c>
      <c r="B42" s="103">
        <v>4.8999999999999998E+36</v>
      </c>
      <c r="C42" s="102">
        <v>1.456</v>
      </c>
      <c r="D42" s="102">
        <v>8090</v>
      </c>
      <c r="E42" s="102">
        <v>3.1878999999995998</v>
      </c>
      <c r="F42" s="102">
        <v>1.0000000000000001E-5</v>
      </c>
      <c r="G42" s="104">
        <v>101760</v>
      </c>
      <c r="H42" s="109"/>
      <c r="I42" s="105">
        <f t="shared" si="1"/>
        <v>9594.8922951004879</v>
      </c>
      <c r="J42" s="106">
        <f t="shared" si="0"/>
        <v>155562.62132365658</v>
      </c>
      <c r="K42" s="107">
        <f t="shared" si="2"/>
        <v>1.5928617613214849E+34</v>
      </c>
    </row>
    <row r="43" spans="1:11" ht="15.75" customHeight="1" x14ac:dyDescent="0.2">
      <c r="A43" s="102">
        <v>39</v>
      </c>
      <c r="B43" s="103">
        <v>4.9499999999999998E+36</v>
      </c>
      <c r="C43" s="102">
        <v>1.468</v>
      </c>
      <c r="D43" s="102">
        <v>8110</v>
      </c>
      <c r="E43" s="102">
        <v>3.1989999999995899</v>
      </c>
      <c r="F43" s="102">
        <v>1.0000000000000001E-5</v>
      </c>
      <c r="G43" s="104">
        <v>101780</v>
      </c>
      <c r="H43" s="109"/>
      <c r="I43" s="105">
        <f t="shared" si="1"/>
        <v>9612.4082993703651</v>
      </c>
      <c r="J43" s="106">
        <f t="shared" si="0"/>
        <v>148341.54080223764</v>
      </c>
      <c r="K43" s="107">
        <f t="shared" si="2"/>
        <v>1.5289063870251704E+34</v>
      </c>
    </row>
    <row r="44" spans="1:11" ht="15.75" customHeight="1" x14ac:dyDescent="0.2">
      <c r="A44" s="102">
        <v>40</v>
      </c>
      <c r="B44" s="103">
        <v>4.9999999999999998E+36</v>
      </c>
      <c r="C44" s="102">
        <v>1.48</v>
      </c>
      <c r="D44" s="102">
        <v>8130</v>
      </c>
      <c r="E44" s="102">
        <v>3.2100999999995801</v>
      </c>
      <c r="F44" s="102">
        <v>1.0000000000000001E-5</v>
      </c>
      <c r="G44" s="104">
        <v>101800</v>
      </c>
      <c r="H44" s="109"/>
      <c r="I44" s="105">
        <f t="shared" si="1"/>
        <v>9629.9446514891079</v>
      </c>
      <c r="J44" s="106">
        <f t="shared" si="0"/>
        <v>141498.35552854059</v>
      </c>
      <c r="K44" s="107">
        <f t="shared" si="2"/>
        <v>1.4672743417605269E+34</v>
      </c>
    </row>
    <row r="45" spans="1:11" ht="15.75" customHeight="1" x14ac:dyDescent="0.2">
      <c r="A45" s="102">
        <v>41</v>
      </c>
      <c r="B45" s="103">
        <v>5.0499999999999997E+36</v>
      </c>
      <c r="C45" s="102">
        <v>1.492</v>
      </c>
      <c r="D45" s="102">
        <v>8150</v>
      </c>
      <c r="E45" s="102">
        <v>3.22119999999958</v>
      </c>
      <c r="F45" s="102">
        <v>1.0000000000000001E-5</v>
      </c>
      <c r="G45" s="104">
        <v>101820</v>
      </c>
      <c r="H45" s="109"/>
      <c r="I45" s="105">
        <f t="shared" si="1"/>
        <v>9647.5011024550295</v>
      </c>
      <c r="J45" s="106">
        <f t="shared" si="0"/>
        <v>135011.22083328353</v>
      </c>
      <c r="K45" s="107">
        <f t="shared" si="2"/>
        <v>1.4078951024724162E+34</v>
      </c>
    </row>
    <row r="46" spans="1:11" ht="15.75" customHeight="1" x14ac:dyDescent="0.2">
      <c r="A46" s="102">
        <v>42</v>
      </c>
      <c r="B46" s="103">
        <v>5.0999999999999997E+36</v>
      </c>
      <c r="C46" s="102">
        <v>1.504</v>
      </c>
      <c r="D46" s="102">
        <v>8170</v>
      </c>
      <c r="E46" s="102">
        <v>3.2322999999995599</v>
      </c>
      <c r="F46" s="102">
        <v>1.0000000000000001E-5</v>
      </c>
      <c r="G46" s="104">
        <v>101840</v>
      </c>
      <c r="H46" s="109"/>
      <c r="I46" s="105">
        <f t="shared" si="1"/>
        <v>9665.0774073127614</v>
      </c>
      <c r="J46" s="106">
        <f t="shared" si="0"/>
        <v>128859.66695235857</v>
      </c>
      <c r="K46" s="107">
        <f t="shared" si="2"/>
        <v>1.3506994458527189E+34</v>
      </c>
    </row>
    <row r="47" spans="1:11" ht="15.75" customHeight="1" x14ac:dyDescent="0.2">
      <c r="A47" s="102">
        <v>43</v>
      </c>
      <c r="B47" s="103">
        <v>5.1499999999999997E+36</v>
      </c>
      <c r="C47" s="102">
        <v>1.516</v>
      </c>
      <c r="D47" s="102">
        <v>8190</v>
      </c>
      <c r="E47" s="102">
        <v>3.24339999999955</v>
      </c>
      <c r="F47" s="102">
        <v>1.0000000000000001E-5</v>
      </c>
      <c r="G47" s="104">
        <v>101860</v>
      </c>
      <c r="H47" s="110"/>
      <c r="I47" s="105">
        <f t="shared" si="1"/>
        <v>9682.6733250713241</v>
      </c>
      <c r="J47" s="106">
        <f t="shared" si="0"/>
        <v>123024.5058273327</v>
      </c>
      <c r="K47" s="107">
        <f t="shared" si="2"/>
        <v>1.2956194838637687E+34</v>
      </c>
    </row>
    <row r="48" spans="1:11" ht="15.75" customHeight="1" x14ac:dyDescent="0.2">
      <c r="A48" s="102">
        <v>44</v>
      </c>
      <c r="B48" s="103">
        <v>5.2000000000000003E+36</v>
      </c>
      <c r="C48" s="102">
        <v>1.528</v>
      </c>
      <c r="D48" s="102">
        <v>8210</v>
      </c>
      <c r="E48" s="102">
        <v>3.2544999999995401</v>
      </c>
      <c r="F48" s="102">
        <v>1.0000000000000001E-5</v>
      </c>
      <c r="G48" s="104">
        <v>101880</v>
      </c>
      <c r="H48" s="112"/>
      <c r="I48" s="105">
        <f t="shared" si="1"/>
        <v>9700.2886186243177</v>
      </c>
      <c r="J48" s="106">
        <f t="shared" si="0"/>
        <v>117487.74465096474</v>
      </c>
      <c r="K48" s="107">
        <f t="shared" si="2"/>
        <v>1.2425886933759977E+34</v>
      </c>
    </row>
    <row r="49" spans="1:11" ht="15.75" customHeight="1" x14ac:dyDescent="0.2">
      <c r="A49" s="102">
        <v>45</v>
      </c>
      <c r="B49" s="103">
        <v>5.2500000000000003E+36</v>
      </c>
      <c r="C49" s="102">
        <v>1.54</v>
      </c>
      <c r="D49" s="102">
        <v>8230</v>
      </c>
      <c r="E49" s="102">
        <v>3.26559999999954</v>
      </c>
      <c r="F49" s="102">
        <v>1.0000000000000001E-5</v>
      </c>
      <c r="G49" s="104">
        <v>101900</v>
      </c>
      <c r="H49" s="112"/>
      <c r="I49" s="105">
        <f t="shared" si="1"/>
        <v>9717.9230546719282</v>
      </c>
      <c r="J49" s="106">
        <f t="shared" si="0"/>
        <v>112232.50564019264</v>
      </c>
      <c r="K49" s="107">
        <f t="shared" si="2"/>
        <v>1.1915419403582756E+34</v>
      </c>
    </row>
    <row r="50" spans="1:11" ht="15.75" customHeight="1" x14ac:dyDescent="0.2">
      <c r="A50" s="102">
        <v>46</v>
      </c>
      <c r="B50" s="103">
        <v>5.3000000000000002E+36</v>
      </c>
      <c r="C50" s="102">
        <v>1.552</v>
      </c>
      <c r="D50" s="102">
        <v>8250</v>
      </c>
      <c r="E50" s="102">
        <v>3.2766999999995199</v>
      </c>
      <c r="F50" s="102">
        <v>1.0000000000000001E-5</v>
      </c>
      <c r="G50" s="104">
        <v>101920</v>
      </c>
      <c r="H50" s="112"/>
      <c r="I50" s="105">
        <f t="shared" si="1"/>
        <v>9735.5764036448709</v>
      </c>
      <c r="J50" s="106">
        <f t="shared" si="0"/>
        <v>107242.95156117335</v>
      </c>
      <c r="K50" s="107">
        <f t="shared" si="2"/>
        <v>1.1424154990351813E+34</v>
      </c>
    </row>
    <row r="51" spans="1:11" ht="15.75" customHeight="1" x14ac:dyDescent="0.2">
      <c r="A51" s="102">
        <v>47</v>
      </c>
      <c r="B51" s="103">
        <v>5.3500000000000002E+36</v>
      </c>
      <c r="C51" s="102">
        <v>1.5640000000000001</v>
      </c>
      <c r="D51" s="102">
        <v>8270</v>
      </c>
      <c r="E51" s="102">
        <v>3.28779999999951</v>
      </c>
      <c r="F51" s="102">
        <v>1.0000000000000001E-5</v>
      </c>
      <c r="G51" s="104">
        <v>101940</v>
      </c>
      <c r="H51" s="112"/>
      <c r="I51" s="105">
        <f t="shared" si="1"/>
        <v>9753.248439630077</v>
      </c>
      <c r="J51" s="106">
        <f t="shared" si="0"/>
        <v>102504.2165689362</v>
      </c>
      <c r="K51" s="107">
        <f t="shared" si="2"/>
        <v>1.0951470663996597E+34</v>
      </c>
    </row>
    <row r="52" spans="1:11" ht="15.75" customHeight="1" x14ac:dyDescent="0.2">
      <c r="A52" s="102">
        <v>48</v>
      </c>
      <c r="B52" s="103">
        <v>5.4000000000000002E+36</v>
      </c>
      <c r="C52" s="102">
        <v>1.5760000000000001</v>
      </c>
      <c r="D52" s="102">
        <v>8290</v>
      </c>
      <c r="E52" s="102">
        <v>3.2988999999995099</v>
      </c>
      <c r="F52" s="102">
        <v>1.0000000000000001E-5</v>
      </c>
      <c r="G52" s="104">
        <v>101960</v>
      </c>
      <c r="H52" s="112"/>
      <c r="I52" s="105">
        <f t="shared" si="1"/>
        <v>9770.9389402982342</v>
      </c>
      <c r="J52" s="106">
        <f t="shared" si="0"/>
        <v>98002.341959530153</v>
      </c>
      <c r="K52" s="107">
        <f t="shared" si="2"/>
        <v>1.0496757724476621E+34</v>
      </c>
    </row>
    <row r="53" spans="1:11" ht="15.75" customHeight="1" x14ac:dyDescent="0.2">
      <c r="A53" s="102">
        <v>49</v>
      </c>
      <c r="B53" s="103">
        <v>5.4500000000000002E+36</v>
      </c>
      <c r="C53" s="102">
        <v>1.5880000000000001</v>
      </c>
      <c r="D53" s="102">
        <v>8310</v>
      </c>
      <c r="E53" s="102">
        <v>3.3099999999995</v>
      </c>
      <c r="F53" s="102">
        <v>1.0000000000000001E-5</v>
      </c>
      <c r="G53" s="104">
        <v>101980</v>
      </c>
      <c r="H53" s="112"/>
      <c r="I53" s="105">
        <f t="shared" si="1"/>
        <v>9788.6476868330028</v>
      </c>
      <c r="J53" s="106">
        <f t="shared" si="0"/>
        <v>93724.216464348166</v>
      </c>
      <c r="K53" s="107">
        <f t="shared" si="2"/>
        <v>1.0059421864778877E+34</v>
      </c>
    </row>
    <row r="54" spans="1:11" ht="15.75" customHeight="1" x14ac:dyDescent="0.2">
      <c r="A54" s="102">
        <v>50</v>
      </c>
      <c r="B54" s="103">
        <v>5.5000000000000002E+36</v>
      </c>
      <c r="C54" s="102">
        <v>1.6</v>
      </c>
      <c r="D54" s="102">
        <v>8330</v>
      </c>
      <c r="E54" s="102">
        <v>3.3210999999994901</v>
      </c>
      <c r="F54" s="102">
        <v>1.0000000000000001E-5</v>
      </c>
      <c r="G54" s="104">
        <v>102000</v>
      </c>
      <c r="H54" s="112"/>
      <c r="I54" s="105">
        <f t="shared" si="1"/>
        <v>9806.3744638618809</v>
      </c>
      <c r="J54" s="106">
        <f t="shared" si="0"/>
        <v>89657.520745898379</v>
      </c>
      <c r="K54" s="107">
        <f t="shared" si="2"/>
        <v>9.6388831977970659E+33</v>
      </c>
    </row>
    <row r="55" spans="1:11" ht="15.75" customHeight="1" x14ac:dyDescent="0.2">
      <c r="A55" s="102">
        <v>51</v>
      </c>
      <c r="B55" s="103">
        <v>5.5500000000000001E+36</v>
      </c>
      <c r="C55" s="102">
        <v>1.6120000000000001</v>
      </c>
      <c r="D55" s="102">
        <v>8350</v>
      </c>
      <c r="E55" s="102">
        <v>3.3321999999994798</v>
      </c>
      <c r="F55" s="102">
        <v>1.0000000000000001E-5</v>
      </c>
      <c r="G55" s="104">
        <v>102020</v>
      </c>
      <c r="H55" s="112"/>
      <c r="I55" s="105">
        <f t="shared" si="1"/>
        <v>9824.1190593887313</v>
      </c>
      <c r="J55" s="106">
        <f t="shared" si="0"/>
        <v>85790.675781244528</v>
      </c>
      <c r="K55" s="107">
        <f t="shared" si="2"/>
        <v>9.2345762501257432E+33</v>
      </c>
    </row>
    <row r="56" spans="1:11" ht="15.75" customHeight="1" x14ac:dyDescent="0.2">
      <c r="A56" s="102">
        <v>52</v>
      </c>
      <c r="B56" s="103">
        <v>5.6000000000000001E+36</v>
      </c>
      <c r="C56" s="102">
        <v>1.6240000000000001</v>
      </c>
      <c r="D56" s="102">
        <v>8370</v>
      </c>
      <c r="E56" s="102">
        <v>3.3432999999994699</v>
      </c>
      <c r="F56" s="102">
        <v>1.0000000000000001E-5</v>
      </c>
      <c r="G56" s="104">
        <v>102040</v>
      </c>
      <c r="H56" s="112"/>
      <c r="I56" s="105">
        <f t="shared" si="1"/>
        <v>9841.8812647278792</v>
      </c>
      <c r="J56" s="106">
        <f t="shared" si="0"/>
        <v>82112.794843979122</v>
      </c>
      <c r="K56" s="107">
        <f t="shared" si="2"/>
        <v>8.845949925609696E+33</v>
      </c>
    </row>
    <row r="57" spans="1:11" ht="15.75" customHeight="1" x14ac:dyDescent="0.2">
      <c r="A57" s="102">
        <v>53</v>
      </c>
      <c r="B57" s="103">
        <v>5.6500000000000001E+36</v>
      </c>
      <c r="C57" s="102">
        <v>1.6359999999999999</v>
      </c>
      <c r="D57" s="102">
        <v>8390</v>
      </c>
      <c r="E57" s="102">
        <v>3.35439999999946</v>
      </c>
      <c r="F57" s="102">
        <v>1.0000000000000001E-5</v>
      </c>
      <c r="G57" s="104">
        <v>102060</v>
      </c>
      <c r="H57" s="112"/>
      <c r="I57" s="105">
        <f t="shared" si="1"/>
        <v>9859.6608744397399</v>
      </c>
      <c r="J57" s="106">
        <f t="shared" si="0"/>
        <v>78613.638818345324</v>
      </c>
      <c r="K57" s="107">
        <f t="shared" si="2"/>
        <v>8.4724674413149864E+33</v>
      </c>
    </row>
    <row r="58" spans="1:11" ht="15.75" customHeight="1" x14ac:dyDescent="0.2">
      <c r="A58" s="102">
        <v>54</v>
      </c>
      <c r="B58" s="103">
        <v>5.7000000000000001E+36</v>
      </c>
      <c r="C58" s="102">
        <v>1.6479999999999999</v>
      </c>
      <c r="D58" s="102">
        <v>8410</v>
      </c>
      <c r="E58" s="102">
        <v>3.3654999999994502</v>
      </c>
      <c r="F58" s="102">
        <v>1.0000000000000001E-5</v>
      </c>
      <c r="G58" s="104">
        <v>102080</v>
      </c>
      <c r="H58" s="112"/>
      <c r="I58" s="105">
        <f t="shared" si="1"/>
        <v>9877.4576862679478</v>
      </c>
      <c r="J58" s="106">
        <f t="shared" si="0"/>
        <v>75283.574599900792</v>
      </c>
      <c r="K58" s="107">
        <f t="shared" si="2"/>
        <v>8.1136062384185974E+33</v>
      </c>
    </row>
    <row r="59" spans="1:11" ht="15.75" customHeight="1" x14ac:dyDescent="0.2">
      <c r="A59" s="102">
        <v>55</v>
      </c>
      <c r="B59" s="103">
        <v>5.7500000000000001E+36</v>
      </c>
      <c r="C59" s="102">
        <v>1.66</v>
      </c>
      <c r="D59" s="102">
        <v>8430</v>
      </c>
      <c r="E59" s="102">
        <v>3.3765999999994398</v>
      </c>
      <c r="F59" s="102">
        <v>1.0000000000000001E-5</v>
      </c>
      <c r="G59" s="104">
        <v>102100</v>
      </c>
      <c r="H59" s="112"/>
      <c r="I59" s="105">
        <f t="shared" si="1"/>
        <v>9895.2715010779466</v>
      </c>
      <c r="J59" s="106">
        <f t="shared" si="0"/>
        <v>72113.536356244091</v>
      </c>
      <c r="K59" s="107">
        <f t="shared" si="2"/>
        <v>7.768857870353954E+33</v>
      </c>
    </row>
    <row r="60" spans="1:11" ht="15.75" customHeight="1" x14ac:dyDescent="0.2">
      <c r="A60" s="102">
        <v>56</v>
      </c>
      <c r="B60" s="103">
        <v>5.8E+36</v>
      </c>
      <c r="C60" s="102">
        <v>1.6719999999999999</v>
      </c>
      <c r="D60" s="102">
        <v>8450</v>
      </c>
      <c r="E60" s="102">
        <v>3.3876999999994299</v>
      </c>
      <c r="F60" s="102">
        <v>1.0000000000000001E-5</v>
      </c>
      <c r="G60" s="104">
        <v>102120</v>
      </c>
      <c r="H60" s="112"/>
      <c r="I60" s="105">
        <f t="shared" si="1"/>
        <v>9913.1021227969777</v>
      </c>
      <c r="J60" s="106">
        <f t="shared" si="0"/>
        <v>69094.989438853212</v>
      </c>
      <c r="K60" s="107">
        <f t="shared" si="2"/>
        <v>7.4377278703993999E+33</v>
      </c>
    </row>
    <row r="61" spans="1:11" ht="15.75" customHeight="1" x14ac:dyDescent="0.2">
      <c r="A61" s="102">
        <v>57</v>
      </c>
      <c r="B61" s="103">
        <v>5.85E+36</v>
      </c>
      <c r="C61" s="102">
        <v>1.6839999999999999</v>
      </c>
      <c r="D61" s="102">
        <v>8470</v>
      </c>
      <c r="E61" s="102">
        <v>3.3987999999994201</v>
      </c>
      <c r="F61" s="102">
        <v>1.0000000000000001E-5</v>
      </c>
      <c r="G61" s="104">
        <v>102140</v>
      </c>
      <c r="H61" s="112"/>
      <c r="I61" s="105">
        <f t="shared" si="1"/>
        <v>9930.949358355474</v>
      </c>
      <c r="J61" s="106">
        <f t="shared" si="0"/>
        <v>66219.896753224704</v>
      </c>
      <c r="K61" s="107">
        <f t="shared" si="2"/>
        <v>7.1197356007535517E+33</v>
      </c>
    </row>
    <row r="62" spans="1:11" ht="15.75" customHeight="1" x14ac:dyDescent="0.2">
      <c r="A62" s="102">
        <v>58</v>
      </c>
      <c r="B62" s="103">
        <v>5.9E+36</v>
      </c>
      <c r="C62" s="102">
        <v>1.696</v>
      </c>
      <c r="D62" s="102">
        <v>8490</v>
      </c>
      <c r="E62" s="102">
        <v>3.4098999999994102</v>
      </c>
      <c r="F62" s="102">
        <v>1.0000000000000001E-5</v>
      </c>
      <c r="G62" s="104">
        <v>102160</v>
      </c>
      <c r="H62" s="112"/>
      <c r="I62" s="105">
        <f t="shared" si="1"/>
        <v>9948.8130176297673</v>
      </c>
      <c r="J62" s="106">
        <f t="shared" si="0"/>
        <v>63480.687409292812</v>
      </c>
      <c r="K62" s="107">
        <f t="shared" si="2"/>
        <v>6.8144140850070585E+33</v>
      </c>
    </row>
    <row r="63" spans="1:11" ht="15.75" customHeight="1" x14ac:dyDescent="0.2">
      <c r="A63" s="102">
        <v>59</v>
      </c>
      <c r="B63" s="103">
        <v>5.95E+36</v>
      </c>
      <c r="C63" s="102">
        <v>1.708</v>
      </c>
      <c r="D63" s="102">
        <v>8510</v>
      </c>
      <c r="E63" s="102">
        <v>3.4209999999993999</v>
      </c>
      <c r="F63" s="102">
        <v>1.0000000000000001E-5</v>
      </c>
      <c r="G63" s="104">
        <v>102180</v>
      </c>
      <c r="H63" s="112"/>
      <c r="I63" s="105">
        <f t="shared" si="1"/>
        <v>9966.6929133861249</v>
      </c>
      <c r="J63" s="106">
        <f t="shared" si="0"/>
        <v>60870.227487746677</v>
      </c>
      <c r="K63" s="107">
        <f t="shared" si="2"/>
        <v>6.5213098257922291E+33</v>
      </c>
    </row>
    <row r="64" spans="1:11" ht="15.75" customHeight="1" x14ac:dyDescent="0.2">
      <c r="A64" s="102">
        <v>60</v>
      </c>
      <c r="B64" s="103">
        <v>6E+36</v>
      </c>
      <c r="C64" s="102">
        <v>1.72</v>
      </c>
      <c r="D64" s="102">
        <v>8530</v>
      </c>
      <c r="E64" s="102">
        <v>3.43209999999939</v>
      </c>
      <c r="F64" s="102">
        <v>1.0000000000000001E-5</v>
      </c>
      <c r="G64" s="104">
        <v>102200</v>
      </c>
      <c r="H64" s="112"/>
      <c r="I64" s="105">
        <f t="shared" si="1"/>
        <v>9984.588861226046</v>
      </c>
      <c r="J64" s="106">
        <f t="shared" si="0"/>
        <v>58381.792770372806</v>
      </c>
      <c r="K64" s="107">
        <f t="shared" si="2"/>
        <v>6.2399826092724587E+33</v>
      </c>
    </row>
    <row r="65" spans="1:11" ht="15.75" customHeight="1" x14ac:dyDescent="0.2">
      <c r="A65" s="102">
        <v>61</v>
      </c>
      <c r="B65" s="103">
        <v>6.0499999999999999E+36</v>
      </c>
      <c r="C65" s="102">
        <v>1.732</v>
      </c>
      <c r="D65" s="102">
        <v>8550</v>
      </c>
      <c r="E65" s="102">
        <v>3.4431999999993801</v>
      </c>
      <c r="F65" s="102">
        <v>1.0000000000000001E-5</v>
      </c>
      <c r="G65" s="104">
        <v>102220</v>
      </c>
      <c r="H65" s="112"/>
      <c r="I65" s="105">
        <f t="shared" si="1"/>
        <v>10002.500679532788</v>
      </c>
      <c r="J65" s="106">
        <f t="shared" si="0"/>
        <v>56009.04329407675</v>
      </c>
      <c r="K65" s="107">
        <f t="shared" si="2"/>
        <v>5.9700052980185977E+33</v>
      </c>
    </row>
    <row r="66" spans="1:11" ht="15.75" customHeight="1" x14ac:dyDescent="0.2">
      <c r="A66" s="102">
        <v>62</v>
      </c>
      <c r="B66" s="103">
        <v>6.0999999999999999E+36</v>
      </c>
      <c r="C66" s="102">
        <v>1.744</v>
      </c>
      <c r="D66" s="102">
        <v>8570</v>
      </c>
      <c r="E66" s="102">
        <v>3.4542999999993702</v>
      </c>
      <c r="F66" s="102">
        <v>1.0000000000000001E-5</v>
      </c>
      <c r="G66" s="104">
        <v>102240</v>
      </c>
      <c r="H66" s="112"/>
      <c r="I66" s="105">
        <f t="shared" si="1"/>
        <v>10020.428189419123</v>
      </c>
      <c r="J66" s="106">
        <f t="shared" si="0"/>
        <v>53745.999598837712</v>
      </c>
      <c r="K66" s="107">
        <f t="shared" si="2"/>
        <v>5.7109636137130733E+33</v>
      </c>
    </row>
    <row r="67" spans="1:11" ht="15.75" customHeight="1" x14ac:dyDescent="0.2">
      <c r="A67" s="102">
        <v>63</v>
      </c>
      <c r="B67" s="103">
        <v>6.1499999999999999E+36</v>
      </c>
      <c r="C67" s="102">
        <v>1.756</v>
      </c>
      <c r="D67" s="102">
        <v>8590</v>
      </c>
      <c r="E67" s="102">
        <v>3.4653999999993599</v>
      </c>
      <c r="F67" s="102">
        <v>1.0000000000000001E-5</v>
      </c>
      <c r="G67" s="104">
        <v>102260</v>
      </c>
      <c r="H67" s="113"/>
      <c r="I67" s="105">
        <f t="shared" si="1"/>
        <v>10038.371214676243</v>
      </c>
      <c r="J67" s="106">
        <f t="shared" si="0"/>
        <v>51587.020549611552</v>
      </c>
      <c r="K67" s="107">
        <f t="shared" si="2"/>
        <v>5.4624559110203857E+33</v>
      </c>
    </row>
    <row r="68" spans="1:11" ht="15.75" customHeight="1" x14ac:dyDescent="0.2">
      <c r="A68" s="102">
        <v>64</v>
      </c>
      <c r="B68" s="103">
        <v>6.1999999999999999E+36</v>
      </c>
      <c r="C68" s="102">
        <v>1.768</v>
      </c>
      <c r="D68" s="102">
        <v>8610</v>
      </c>
      <c r="E68" s="102">
        <v>3.47649999999935</v>
      </c>
      <c r="F68" s="102">
        <v>1.0000000000000001E-5</v>
      </c>
      <c r="G68" s="104">
        <v>102280</v>
      </c>
      <c r="H68" s="110"/>
      <c r="I68" s="105">
        <f t="shared" si="1"/>
        <v>10056.329581723816</v>
      </c>
      <c r="J68" s="106">
        <f t="shared" ref="J68:J104" si="3">(K68*D68/G68)^(1/(2*E68))</f>
        <v>49526.782621181737</v>
      </c>
      <c r="K68" s="107">
        <f t="shared" si="2"/>
        <v>5.2240929438679205E+33</v>
      </c>
    </row>
    <row r="69" spans="1:11" ht="15.75" customHeight="1" x14ac:dyDescent="0.2">
      <c r="A69" s="102">
        <v>65</v>
      </c>
      <c r="B69" s="103">
        <v>6.2499999999999999E+36</v>
      </c>
      <c r="C69" s="102">
        <v>1.78</v>
      </c>
      <c r="D69" s="102">
        <v>8630</v>
      </c>
      <c r="E69" s="102">
        <v>3.4875999999993401</v>
      </c>
      <c r="F69" s="102">
        <v>1.0000000000000001E-5</v>
      </c>
      <c r="G69" s="104">
        <v>102300</v>
      </c>
      <c r="H69" s="110"/>
      <c r="I69" s="105">
        <f t="shared" ref="I69:I104" si="4">2*E69*D69/(2*E69-1)</f>
        <v>10074.303119561169</v>
      </c>
      <c r="J69" s="106">
        <f t="shared" si="3"/>
        <v>47560.260543242694</v>
      </c>
      <c r="K69" s="107">
        <f t="shared" ref="K69:K104" si="5">B69/((1+C69)^(2*E69))</f>
        <v>4.9954976252900448E+33</v>
      </c>
    </row>
    <row r="70" spans="1:11" ht="15.75" customHeight="1" x14ac:dyDescent="0.2">
      <c r="A70" s="102">
        <v>66</v>
      </c>
      <c r="B70" s="103">
        <v>6.2999999999999998E+36</v>
      </c>
      <c r="C70" s="102">
        <v>1.792</v>
      </c>
      <c r="D70" s="102">
        <v>8650</v>
      </c>
      <c r="E70" s="102">
        <v>3.4986999999993298</v>
      </c>
      <c r="F70" s="102">
        <v>1.0000000000000001E-5</v>
      </c>
      <c r="G70" s="104">
        <v>102320</v>
      </c>
      <c r="H70" s="110"/>
      <c r="I70" s="105">
        <f t="shared" si="4"/>
        <v>10092.291659719534</v>
      </c>
      <c r="J70" s="106">
        <f t="shared" si="3"/>
        <v>45682.70921062339</v>
      </c>
      <c r="K70" s="107">
        <f t="shared" si="5"/>
        <v>4.776304781904646E+33</v>
      </c>
    </row>
    <row r="71" spans="1:11" ht="15.75" customHeight="1" x14ac:dyDescent="0.2">
      <c r="A71" s="102">
        <v>67</v>
      </c>
      <c r="B71" s="103">
        <v>6.3499999999999998E+36</v>
      </c>
      <c r="C71" s="102">
        <v>1.804</v>
      </c>
      <c r="D71" s="102">
        <v>8670</v>
      </c>
      <c r="E71" s="102">
        <v>3.5097999999993199</v>
      </c>
      <c r="F71" s="102">
        <v>1.0000000000000001E-5</v>
      </c>
      <c r="G71" s="104">
        <v>102340</v>
      </c>
      <c r="H71" s="110"/>
      <c r="I71" s="105">
        <f t="shared" si="4"/>
        <v>10110.295036215357</v>
      </c>
      <c r="J71" s="106">
        <f t="shared" si="3"/>
        <v>43889.646770598345</v>
      </c>
      <c r="K71" s="107">
        <f t="shared" si="5"/>
        <v>4.5661609040101804E+33</v>
      </c>
    </row>
    <row r="72" spans="1:11" ht="15.75" customHeight="1" x14ac:dyDescent="0.2">
      <c r="A72" s="102">
        <v>68</v>
      </c>
      <c r="B72" s="103">
        <v>6.3999999999999998E+36</v>
      </c>
      <c r="C72" s="102">
        <v>1.8160000000000001</v>
      </c>
      <c r="D72" s="102">
        <v>8690</v>
      </c>
      <c r="E72" s="102">
        <v>3.52089999999931</v>
      </c>
      <c r="F72" s="102">
        <v>1.0000000000000001E-5</v>
      </c>
      <c r="G72" s="104">
        <v>102360</v>
      </c>
      <c r="H72" s="110"/>
      <c r="I72" s="105">
        <f t="shared" si="4"/>
        <v>10128.313085504647</v>
      </c>
      <c r="J72" s="106">
        <f t="shared" si="3"/>
        <v>42176.838805715975</v>
      </c>
      <c r="K72" s="107">
        <f t="shared" si="5"/>
        <v>4.3647238922173142E+33</v>
      </c>
    </row>
    <row r="73" spans="1:11" ht="15.75" customHeight="1" x14ac:dyDescent="0.2">
      <c r="A73" s="102">
        <v>69</v>
      </c>
      <c r="B73" s="103">
        <v>6.4499999999999998E+36</v>
      </c>
      <c r="C73" s="102">
        <v>1.8280000000000001</v>
      </c>
      <c r="D73" s="102">
        <v>8710</v>
      </c>
      <c r="E73" s="102">
        <v>3.5319999999993001</v>
      </c>
      <c r="F73" s="102">
        <v>1.0000000000000001E-5</v>
      </c>
      <c r="G73" s="104">
        <v>102380</v>
      </c>
      <c r="H73" s="110"/>
      <c r="I73" s="105">
        <f t="shared" si="4"/>
        <v>10146.345646438325</v>
      </c>
      <c r="J73" s="106">
        <f t="shared" si="3"/>
        <v>40540.283536556664</v>
      </c>
      <c r="K73" s="107">
        <f t="shared" si="5"/>
        <v>4.1716628014572773E+33</v>
      </c>
    </row>
    <row r="74" spans="1:11" ht="15.75" customHeight="1" x14ac:dyDescent="0.2">
      <c r="A74" s="102">
        <v>70</v>
      </c>
      <c r="B74" s="103">
        <v>6.4999999999999998E+36</v>
      </c>
      <c r="C74" s="102">
        <v>1.84</v>
      </c>
      <c r="D74" s="102">
        <v>8730</v>
      </c>
      <c r="E74" s="102">
        <v>3.5430999999992898</v>
      </c>
      <c r="F74" s="102">
        <v>1.0000000000000001E-5</v>
      </c>
      <c r="G74" s="104">
        <v>102400</v>
      </c>
      <c r="H74" s="110"/>
      <c r="I74" s="105">
        <f t="shared" si="4"/>
        <v>10164.392560218534</v>
      </c>
      <c r="J74" s="106">
        <f t="shared" si="3"/>
        <v>38976.197974357019</v>
      </c>
      <c r="K74" s="107">
        <f t="shared" si="5"/>
        <v>3.9866575831435656E+33</v>
      </c>
    </row>
    <row r="75" spans="1:11" ht="15.75" customHeight="1" x14ac:dyDescent="0.2">
      <c r="A75" s="102">
        <v>71</v>
      </c>
      <c r="B75" s="103">
        <v>6.5499999999999997E+36</v>
      </c>
      <c r="C75" s="102">
        <v>1.8520000000000001</v>
      </c>
      <c r="D75" s="102">
        <v>8750</v>
      </c>
      <c r="E75" s="102">
        <v>3.5541999999992799</v>
      </c>
      <c r="F75" s="102">
        <v>1.0000000000000001E-5</v>
      </c>
      <c r="G75" s="104">
        <v>102420</v>
      </c>
      <c r="H75" s="110"/>
      <c r="I75" s="105">
        <f t="shared" si="4"/>
        <v>10182.453670355913</v>
      </c>
      <c r="J75" s="106">
        <f t="shared" si="3"/>
        <v>37481.004958529586</v>
      </c>
      <c r="K75" s="107">
        <f t="shared" si="5"/>
        <v>3.8093988262002157E+33</v>
      </c>
    </row>
    <row r="76" spans="1:11" ht="15.75" customHeight="1" x14ac:dyDescent="0.2">
      <c r="A76" s="102">
        <v>72</v>
      </c>
      <c r="B76" s="103">
        <v>6.5999999999999997E+36</v>
      </c>
      <c r="C76" s="102">
        <v>1.8640000000000001</v>
      </c>
      <c r="D76" s="102">
        <v>8770</v>
      </c>
      <c r="E76" s="102">
        <v>3.5652999999992701</v>
      </c>
      <c r="F76" s="102">
        <v>1.0000000000000001E-5</v>
      </c>
      <c r="G76" s="104">
        <v>102440</v>
      </c>
      <c r="H76" s="110"/>
      <c r="I76" s="105">
        <f t="shared" si="4"/>
        <v>10200.528822627815</v>
      </c>
      <c r="J76" s="106">
        <f t="shared" si="3"/>
        <v>36051.321018816459</v>
      </c>
      <c r="K76" s="107">
        <f t="shared" si="5"/>
        <v>3.6395874976118981E+33</v>
      </c>
    </row>
    <row r="77" spans="1:11" ht="15.75" customHeight="1" x14ac:dyDescent="0.2">
      <c r="A77" s="102">
        <v>73</v>
      </c>
      <c r="B77" s="103">
        <v>6.6499999999999997E+36</v>
      </c>
      <c r="C77" s="102">
        <v>1.8759999999999999</v>
      </c>
      <c r="D77" s="102">
        <v>8790</v>
      </c>
      <c r="E77" s="102">
        <v>3.5763999999992602</v>
      </c>
      <c r="F77" s="102">
        <v>1.0000000000000001E-5</v>
      </c>
      <c r="G77" s="104">
        <v>102460</v>
      </c>
      <c r="H77" s="110"/>
      <c r="I77" s="105">
        <f t="shared" si="4"/>
        <v>10218.6178650374</v>
      </c>
      <c r="J77" s="106">
        <f t="shared" si="3"/>
        <v>34683.945006158101</v>
      </c>
      <c r="K77" s="107">
        <f t="shared" si="5"/>
        <v>3.4769346830952164E+33</v>
      </c>
    </row>
    <row r="78" spans="1:11" ht="15.75" customHeight="1" x14ac:dyDescent="0.2">
      <c r="A78" s="102">
        <v>74</v>
      </c>
      <c r="B78" s="103">
        <v>6.6999999999999997E+36</v>
      </c>
      <c r="C78" s="102">
        <v>1.8879999999999999</v>
      </c>
      <c r="D78" s="102">
        <v>8810</v>
      </c>
      <c r="E78" s="102">
        <v>3.5874999999992498</v>
      </c>
      <c r="F78" s="102">
        <v>1.0000000000000001E-5</v>
      </c>
      <c r="G78" s="104">
        <v>102480</v>
      </c>
      <c r="H78" s="110"/>
      <c r="I78" s="105">
        <f t="shared" si="4"/>
        <v>10236.720647773625</v>
      </c>
      <c r="J78" s="106">
        <f t="shared" si="3"/>
        <v>33375.847440380312</v>
      </c>
      <c r="K78" s="107">
        <f t="shared" si="5"/>
        <v>3.3211613284397037E+33</v>
      </c>
    </row>
    <row r="79" spans="1:11" ht="15.75" customHeight="1" x14ac:dyDescent="0.2">
      <c r="A79" s="102">
        <v>75</v>
      </c>
      <c r="B79" s="103">
        <v>6.7499999999999997E+36</v>
      </c>
      <c r="C79" s="102">
        <v>1.9</v>
      </c>
      <c r="D79" s="102">
        <v>8830</v>
      </c>
      <c r="E79" s="102">
        <v>3.59859999999924</v>
      </c>
      <c r="F79" s="102">
        <v>1.0000000000000001E-5</v>
      </c>
      <c r="G79" s="104">
        <v>102500</v>
      </c>
      <c r="H79" s="110"/>
      <c r="I79" s="105">
        <f t="shared" si="4"/>
        <v>10254.837023172106</v>
      </c>
      <c r="J79" s="106">
        <f t="shared" si="3"/>
        <v>32124.160526509375</v>
      </c>
      <c r="K79" s="107">
        <f t="shared" si="5"/>
        <v>3.1719979820176601E+33</v>
      </c>
    </row>
    <row r="80" spans="1:11" ht="15.75" customHeight="1" x14ac:dyDescent="0.2">
      <c r="A80" s="102">
        <v>76</v>
      </c>
      <c r="B80" s="103">
        <v>6.7999999999999996E+36</v>
      </c>
      <c r="C80" s="102">
        <v>1.9119999999999999</v>
      </c>
      <c r="D80" s="102">
        <v>8850</v>
      </c>
      <c r="E80" s="102">
        <v>3.6096999999992301</v>
      </c>
      <c r="F80" s="102">
        <v>1.0000000000000001E-5</v>
      </c>
      <c r="G80" s="104">
        <v>102520</v>
      </c>
      <c r="H80" s="110"/>
      <c r="I80" s="105">
        <f t="shared" si="4"/>
        <v>10272.966845676785</v>
      </c>
      <c r="J80" s="106">
        <f t="shared" si="3"/>
        <v>30926.168794962705</v>
      </c>
      <c r="K80" s="107">
        <f t="shared" si="5"/>
        <v>3.0291845389174186E+33</v>
      </c>
    </row>
    <row r="81" spans="1:11" ht="15.75" customHeight="1" x14ac:dyDescent="0.2">
      <c r="A81" s="102">
        <v>77</v>
      </c>
      <c r="B81" s="103">
        <v>6.8499999999999996E+36</v>
      </c>
      <c r="C81" s="102">
        <v>1.9239999999999999</v>
      </c>
      <c r="D81" s="102">
        <v>8870</v>
      </c>
      <c r="E81" s="102">
        <v>3.6207999999992202</v>
      </c>
      <c r="F81" s="102">
        <v>1.0000000000000001E-5</v>
      </c>
      <c r="G81" s="104">
        <v>102540</v>
      </c>
      <c r="H81" s="110"/>
      <c r="I81" s="105">
        <f t="shared" si="4"/>
        <v>10291.109971802458</v>
      </c>
      <c r="J81" s="106">
        <f t="shared" si="3"/>
        <v>29779.300324033622</v>
      </c>
      <c r="K81" s="107">
        <f t="shared" si="5"/>
        <v>2.8924699871114564E+33</v>
      </c>
    </row>
    <row r="82" spans="1:11" ht="15.75" customHeight="1" x14ac:dyDescent="0.2">
      <c r="A82" s="102">
        <v>78</v>
      </c>
      <c r="B82" s="103">
        <v>6.8999999999999996E+36</v>
      </c>
      <c r="C82" s="102">
        <v>1.9359999999999999</v>
      </c>
      <c r="D82" s="102">
        <v>8890</v>
      </c>
      <c r="E82" s="102">
        <v>3.6318999999992099</v>
      </c>
      <c r="F82" s="102">
        <v>1.0000000000000001E-5</v>
      </c>
      <c r="G82" s="104">
        <v>102560</v>
      </c>
      <c r="H82" s="110"/>
      <c r="I82" s="105">
        <f t="shared" si="4"/>
        <v>10309.266260098062</v>
      </c>
      <c r="J82" s="106">
        <f t="shared" si="3"/>
        <v>28681.118506028379</v>
      </c>
      <c r="K82" s="107">
        <f t="shared" si="5"/>
        <v>2.7616121560314151E+33</v>
      </c>
    </row>
    <row r="83" spans="1:11" ht="15.75" customHeight="1" x14ac:dyDescent="0.2">
      <c r="A83" s="102">
        <v>79</v>
      </c>
      <c r="B83" s="103">
        <v>6.9499999999999996E+36</v>
      </c>
      <c r="C83" s="102">
        <v>1.948</v>
      </c>
      <c r="D83" s="102">
        <v>8910</v>
      </c>
      <c r="E83" s="102">
        <v>3.6429999999992</v>
      </c>
      <c r="F83" s="102">
        <v>1.0000000000000001E-5</v>
      </c>
      <c r="G83" s="104">
        <v>102580</v>
      </c>
      <c r="H83" s="110"/>
      <c r="I83" s="105">
        <f t="shared" si="4"/>
        <v>10327.435571110764</v>
      </c>
      <c r="J83" s="106">
        <f t="shared" si="3"/>
        <v>27629.314321132064</v>
      </c>
      <c r="K83" s="107">
        <f t="shared" si="5"/>
        <v>2.6363774678847635E+33</v>
      </c>
    </row>
    <row r="84" spans="1:11" ht="15.75" customHeight="1" x14ac:dyDescent="0.2">
      <c r="A84" s="102">
        <v>80</v>
      </c>
      <c r="B84" s="103">
        <v>6.9999999999999996E+36</v>
      </c>
      <c r="C84" s="102">
        <v>1.96</v>
      </c>
      <c r="D84" s="102">
        <v>8930</v>
      </c>
      <c r="E84" s="102">
        <v>3.6540999999991901</v>
      </c>
      <c r="F84" s="102">
        <v>1.0000000000000001E-5</v>
      </c>
      <c r="G84" s="104">
        <v>102600</v>
      </c>
      <c r="H84" s="110"/>
      <c r="I84" s="105">
        <f t="shared" si="4"/>
        <v>10345.617767350797</v>
      </c>
      <c r="J84" s="106">
        <f t="shared" si="3"/>
        <v>26621.699085595148</v>
      </c>
      <c r="K84" s="107">
        <f t="shared" si="5"/>
        <v>2.5165406920132061E+33</v>
      </c>
    </row>
    <row r="85" spans="1:11" ht="15.75" customHeight="1" x14ac:dyDescent="0.2">
      <c r="A85" s="102">
        <v>81</v>
      </c>
      <c r="B85" s="103">
        <v>7.0499999999999995E+36</v>
      </c>
      <c r="C85" s="102">
        <v>1.972</v>
      </c>
      <c r="D85" s="102">
        <v>8950</v>
      </c>
      <c r="E85" s="102">
        <v>3.6651999999991798</v>
      </c>
      <c r="F85" s="102">
        <v>1.0000000000000001E-5</v>
      </c>
      <c r="G85" s="104">
        <v>102620</v>
      </c>
      <c r="H85" s="110"/>
      <c r="I85" s="105">
        <f t="shared" si="4"/>
        <v>10363.812713257033</v>
      </c>
      <c r="J85" s="106">
        <f t="shared" si="3"/>
        <v>25656.197643166321</v>
      </c>
      <c r="K85" s="107">
        <f t="shared" si="5"/>
        <v>2.4018847025605401E+33</v>
      </c>
    </row>
    <row r="86" spans="1:11" ht="15.75" customHeight="1" x14ac:dyDescent="0.2">
      <c r="A86" s="102">
        <v>82</v>
      </c>
      <c r="B86" s="103">
        <v>7.0999999999999995E+36</v>
      </c>
      <c r="C86" s="102">
        <v>1.984</v>
      </c>
      <c r="D86" s="102">
        <v>8970</v>
      </c>
      <c r="E86" s="102">
        <v>3.6762999999991699</v>
      </c>
      <c r="F86" s="102">
        <v>1.0000000000000001E-5</v>
      </c>
      <c r="G86" s="104">
        <v>102640</v>
      </c>
      <c r="H86" s="110"/>
      <c r="I86" s="105">
        <f t="shared" si="4"/>
        <v>10382.020275163295</v>
      </c>
      <c r="J86" s="106">
        <f t="shared" si="3"/>
        <v>24730.841970853424</v>
      </c>
      <c r="K86" s="107">
        <f t="shared" si="5"/>
        <v>2.2922002396874381E+33</v>
      </c>
    </row>
    <row r="87" spans="1:11" ht="15.75" customHeight="1" x14ac:dyDescent="0.2">
      <c r="A87" s="102">
        <v>83</v>
      </c>
      <c r="B87" s="103">
        <v>7.1499999999999995E+36</v>
      </c>
      <c r="C87" s="102">
        <v>1.996</v>
      </c>
      <c r="D87" s="102">
        <v>8990</v>
      </c>
      <c r="E87" s="102">
        <v>3.68739999999916</v>
      </c>
      <c r="F87" s="102">
        <v>1.0000000000000001E-5</v>
      </c>
      <c r="G87" s="104">
        <v>102660</v>
      </c>
      <c r="H87" s="110"/>
      <c r="I87" s="105">
        <f t="shared" si="4"/>
        <v>10400.240321265353</v>
      </c>
      <c r="J87" s="106">
        <f t="shared" si="3"/>
        <v>23843.76517209825</v>
      </c>
      <c r="K87" s="107">
        <f t="shared" si="5"/>
        <v>2.1872856745426399E+33</v>
      </c>
    </row>
    <row r="88" spans="1:11" ht="15.75" customHeight="1" x14ac:dyDescent="0.2">
      <c r="A88" s="102">
        <v>84</v>
      </c>
      <c r="B88" s="103">
        <v>7.1999999999999995E+36</v>
      </c>
      <c r="C88" s="102">
        <v>2.008</v>
      </c>
      <c r="D88" s="102">
        <v>9010</v>
      </c>
      <c r="E88" s="102">
        <v>3.6984999999991501</v>
      </c>
      <c r="F88" s="102">
        <v>1.0000000000000001E-5</v>
      </c>
      <c r="G88" s="104">
        <v>102680</v>
      </c>
      <c r="H88" s="110"/>
      <c r="I88" s="105">
        <f t="shared" si="4"/>
        <v>10418.47272158862</v>
      </c>
      <c r="J88" s="106">
        <f t="shared" si="3"/>
        <v>22993.195832303365</v>
      </c>
      <c r="K88" s="107">
        <f t="shared" si="5"/>
        <v>2.0869467781737346E+33</v>
      </c>
    </row>
    <row r="89" spans="1:11" ht="15.75" customHeight="1" x14ac:dyDescent="0.2">
      <c r="A89" s="102">
        <v>85</v>
      </c>
      <c r="B89" s="103">
        <v>7.2499999999999995E+36</v>
      </c>
      <c r="C89" s="102">
        <v>2.02</v>
      </c>
      <c r="D89" s="102">
        <v>9030</v>
      </c>
      <c r="E89" s="102">
        <v>3.7095999999991398</v>
      </c>
      <c r="F89" s="102">
        <v>1.0000000000000001E-5</v>
      </c>
      <c r="G89" s="104">
        <v>102700</v>
      </c>
      <c r="H89" s="110"/>
      <c r="I89" s="105">
        <f t="shared" si="4"/>
        <v>10436.717347956508</v>
      </c>
      <c r="J89" s="106">
        <f t="shared" si="3"/>
        <v>22177.452713371764</v>
      </c>
      <c r="K89" s="107">
        <f t="shared" si="5"/>
        <v>1.9909964945365442E+33</v>
      </c>
    </row>
    <row r="90" spans="1:11" ht="15.75" customHeight="1" x14ac:dyDescent="0.2">
      <c r="A90" s="102">
        <v>86</v>
      </c>
      <c r="B90" s="103">
        <v>7.2999999999999994E+36</v>
      </c>
      <c r="C90" s="102">
        <v>2.032</v>
      </c>
      <c r="D90" s="102">
        <v>9050</v>
      </c>
      <c r="E90" s="102">
        <v>3.7206999999991299</v>
      </c>
      <c r="F90" s="102">
        <v>1.0000000000000001E-5</v>
      </c>
      <c r="G90" s="104">
        <v>102720</v>
      </c>
      <c r="H90" s="110"/>
      <c r="I90" s="105">
        <f t="shared" si="4"/>
        <v>10454.974073959456</v>
      </c>
      <c r="J90" s="106">
        <f t="shared" si="3"/>
        <v>21394.939765512539</v>
      </c>
      <c r="K90" s="107">
        <f t="shared" si="5"/>
        <v>1.8992547177394293E+33</v>
      </c>
    </row>
    <row r="91" spans="1:11" ht="15.75" customHeight="1" x14ac:dyDescent="0.2">
      <c r="A91" s="102">
        <v>87</v>
      </c>
      <c r="B91" s="103">
        <v>7.3499999999999994E+36</v>
      </c>
      <c r="C91" s="102">
        <v>2.044</v>
      </c>
      <c r="D91" s="102">
        <v>9070</v>
      </c>
      <c r="E91" s="102">
        <v>3.73179999999912</v>
      </c>
      <c r="F91" s="102">
        <v>1.0000000000000001E-5</v>
      </c>
      <c r="G91" s="104">
        <v>102740</v>
      </c>
      <c r="H91" s="110"/>
      <c r="I91" s="105">
        <f t="shared" si="4"/>
        <v>10473.242774924573</v>
      </c>
      <c r="J91" s="106">
        <f t="shared" si="3"/>
        <v>20644.141436049813</v>
      </c>
      <c r="K91" s="107">
        <f t="shared" si="5"/>
        <v>1.8115480736380088E+33</v>
      </c>
    </row>
    <row r="92" spans="1:11" ht="15.75" customHeight="1" x14ac:dyDescent="0.2">
      <c r="A92" s="102">
        <v>88</v>
      </c>
      <c r="B92" s="103">
        <v>7.4000000000000006E+36</v>
      </c>
      <c r="C92" s="102">
        <v>2.056</v>
      </c>
      <c r="D92" s="102">
        <v>9090</v>
      </c>
      <c r="E92" s="102">
        <v>3.7428999999991102</v>
      </c>
      <c r="F92" s="102">
        <v>1.0000000000000001E-5</v>
      </c>
      <c r="G92" s="104">
        <v>102760</v>
      </c>
      <c r="H92" s="110"/>
      <c r="I92" s="105">
        <f t="shared" si="4"/>
        <v>10491.52332788592</v>
      </c>
      <c r="J92" s="106">
        <f t="shared" si="3"/>
        <v>19923.618256341884</v>
      </c>
      <c r="K92" s="107">
        <f t="shared" si="5"/>
        <v>1.7277097058763342E+33</v>
      </c>
    </row>
    <row r="93" spans="1:11" ht="15.75" customHeight="1" x14ac:dyDescent="0.2">
      <c r="A93" s="102">
        <v>89</v>
      </c>
      <c r="B93" s="103">
        <v>7.4500000000000006E+36</v>
      </c>
      <c r="C93" s="102">
        <v>2.0680000000000001</v>
      </c>
      <c r="D93" s="102">
        <v>9110</v>
      </c>
      <c r="E93" s="102">
        <v>3.7539999999990998</v>
      </c>
      <c r="F93" s="102">
        <v>1.0000000000000001E-5</v>
      </c>
      <c r="G93" s="104">
        <v>102780</v>
      </c>
      <c r="H93" s="110"/>
      <c r="I93" s="105">
        <f t="shared" si="4"/>
        <v>10509.815611555397</v>
      </c>
      <c r="J93" s="106">
        <f t="shared" si="3"/>
        <v>19232.002689197263</v>
      </c>
      <c r="K93" s="107">
        <f t="shared" si="5"/>
        <v>1.6475790664526942E+33</v>
      </c>
    </row>
    <row r="94" spans="1:11" ht="15.75" customHeight="1" x14ac:dyDescent="0.2">
      <c r="A94" s="102">
        <v>90</v>
      </c>
      <c r="B94" s="103">
        <v>7.5000000000000005E+36</v>
      </c>
      <c r="C94" s="102">
        <v>2.08</v>
      </c>
      <c r="D94" s="102">
        <v>9130</v>
      </c>
      <c r="E94" s="102">
        <v>3.76509999999909</v>
      </c>
      <c r="F94" s="102">
        <v>1.0000000000000001E-5</v>
      </c>
      <c r="G94" s="104">
        <v>102800</v>
      </c>
      <c r="H94" s="110"/>
      <c r="I94" s="105">
        <f t="shared" si="4"/>
        <v>10528.119506294224</v>
      </c>
      <c r="J94" s="106">
        <f t="shared" si="3"/>
        <v>18567.995220355246</v>
      </c>
      <c r="K94" s="107">
        <f t="shared" si="5"/>
        <v>1.5710017108715863E+33</v>
      </c>
    </row>
    <row r="95" spans="1:11" ht="15.75" customHeight="1" x14ac:dyDescent="0.2">
      <c r="A95" s="102">
        <v>91</v>
      </c>
      <c r="B95" s="103">
        <v>7.5500000000000005E+36</v>
      </c>
      <c r="C95" s="102">
        <v>2.0920000000000001</v>
      </c>
      <c r="D95" s="102">
        <v>9150</v>
      </c>
      <c r="E95" s="102">
        <v>3.7761999999990801</v>
      </c>
      <c r="F95" s="102">
        <v>1.0000000000000001E-5</v>
      </c>
      <c r="G95" s="104">
        <v>102820</v>
      </c>
      <c r="H95" s="110"/>
      <c r="I95" s="105">
        <f t="shared" si="4"/>
        <v>10546.434894085003</v>
      </c>
      <c r="J95" s="106">
        <f t="shared" si="3"/>
        <v>17930.36067870224</v>
      </c>
      <c r="K95" s="107">
        <f t="shared" si="5"/>
        <v>1.4978290979282141E+33</v>
      </c>
    </row>
    <row r="96" spans="1:11" ht="15.75" customHeight="1" x14ac:dyDescent="0.2">
      <c r="A96" s="102">
        <v>92</v>
      </c>
      <c r="B96" s="103">
        <v>7.6000000000000005E+36</v>
      </c>
      <c r="C96" s="102">
        <v>2.1040000000000001</v>
      </c>
      <c r="D96" s="102">
        <v>9170</v>
      </c>
      <c r="E96" s="102">
        <v>3.7872999999990702</v>
      </c>
      <c r="F96" s="102">
        <v>1.0000000000000001E-5</v>
      </c>
      <c r="G96" s="104">
        <v>102840</v>
      </c>
      <c r="H96" s="110"/>
      <c r="I96" s="105">
        <f t="shared" si="4"/>
        <v>10564.761658504332</v>
      </c>
      <c r="J96" s="106">
        <f t="shared" si="3"/>
        <v>17317.924770915324</v>
      </c>
      <c r="K96" s="107">
        <f t="shared" si="5"/>
        <v>1.4279183941577531E+33</v>
      </c>
    </row>
    <row r="97" spans="1:11" ht="15.75" customHeight="1" x14ac:dyDescent="0.2">
      <c r="A97" s="102">
        <v>93</v>
      </c>
      <c r="B97" s="103">
        <v>7.6500000000000005E+36</v>
      </c>
      <c r="C97" s="102">
        <v>2.1160000000000001</v>
      </c>
      <c r="D97" s="102">
        <v>9190</v>
      </c>
      <c r="E97" s="102">
        <v>3.7983999999990599</v>
      </c>
      <c r="F97" s="102">
        <v>1.0000000000000001E-5</v>
      </c>
      <c r="G97" s="104">
        <v>102860</v>
      </c>
      <c r="H97" s="110"/>
      <c r="I97" s="105">
        <f t="shared" si="4"/>
        <v>10583.099684696006</v>
      </c>
      <c r="J97" s="106">
        <f t="shared" si="3"/>
        <v>16729.570817176336</v>
      </c>
      <c r="K97" s="107">
        <f t="shared" si="5"/>
        <v>1.3611322829687584E+33</v>
      </c>
    </row>
    <row r="98" spans="1:11" ht="15.75" customHeight="1" x14ac:dyDescent="0.2">
      <c r="A98" s="102">
        <v>94</v>
      </c>
      <c r="B98" s="103">
        <v>7.7000000000000005E+36</v>
      </c>
      <c r="C98" s="102">
        <v>2.1280000000000001</v>
      </c>
      <c r="D98" s="102">
        <v>9210</v>
      </c>
      <c r="E98" s="102">
        <v>3.80949999999905</v>
      </c>
      <c r="F98" s="102">
        <v>1.0000000000000001E-5</v>
      </c>
      <c r="G98" s="104">
        <v>102880</v>
      </c>
      <c r="H98" s="110"/>
      <c r="I98" s="105">
        <f t="shared" si="4"/>
        <v>10601.448859344711</v>
      </c>
      <c r="J98" s="106">
        <f t="shared" si="3"/>
        <v>16164.236675483529</v>
      </c>
      <c r="K98" s="107">
        <f t="shared" si="5"/>
        <v>1.2973387784681475E+33</v>
      </c>
    </row>
    <row r="99" spans="1:11" ht="15.75" customHeight="1" x14ac:dyDescent="0.2">
      <c r="A99" s="102">
        <v>95</v>
      </c>
      <c r="B99" s="103">
        <v>7.7500000000000004E+36</v>
      </c>
      <c r="C99" s="102">
        <v>2.14</v>
      </c>
      <c r="D99" s="102">
        <v>9230</v>
      </c>
      <c r="E99" s="102">
        <v>3.8205999999990401</v>
      </c>
      <c r="F99" s="102">
        <v>1.0000000000000001E-5</v>
      </c>
      <c r="G99" s="104">
        <v>102900</v>
      </c>
      <c r="H99" s="110"/>
      <c r="I99" s="105">
        <f t="shared" si="4"/>
        <v>10619.809070650283</v>
      </c>
      <c r="J99" s="106">
        <f t="shared" si="3"/>
        <v>15620.911842909451</v>
      </c>
      <c r="K99" s="107">
        <f t="shared" si="5"/>
        <v>1.2364110439744991E+33</v>
      </c>
    </row>
    <row r="100" spans="1:11" ht="15.75" customHeight="1" x14ac:dyDescent="0.2">
      <c r="A100" s="102">
        <v>96</v>
      </c>
      <c r="B100" s="103">
        <v>7.8000000000000004E+36</v>
      </c>
      <c r="C100" s="102">
        <v>2.1520000000000001</v>
      </c>
      <c r="D100" s="102">
        <v>9250</v>
      </c>
      <c r="E100" s="102">
        <v>3.8316999999990302</v>
      </c>
      <c r="F100" s="102">
        <v>1.0000000000000001E-5</v>
      </c>
      <c r="G100" s="104">
        <v>102920</v>
      </c>
      <c r="H100" s="110"/>
      <c r="I100" s="105">
        <f t="shared" si="4"/>
        <v>10638.180208302472</v>
      </c>
      <c r="J100" s="106">
        <f t="shared" si="3"/>
        <v>15098.634722918832</v>
      </c>
      <c r="K100" s="107">
        <f t="shared" si="5"/>
        <v>1.1782272152063403E+33</v>
      </c>
    </row>
    <row r="101" spans="1:11" ht="15.75" customHeight="1" x14ac:dyDescent="0.2">
      <c r="A101" s="102">
        <v>97</v>
      </c>
      <c r="B101" s="103">
        <v>7.8500000000000004E+36</v>
      </c>
      <c r="C101" s="102">
        <v>2.1640000000000001</v>
      </c>
      <c r="D101" s="102">
        <v>9270</v>
      </c>
      <c r="E101" s="102">
        <v>3.8427999999990199</v>
      </c>
      <c r="F101" s="102">
        <v>1.0000000000000001E-5</v>
      </c>
      <c r="G101" s="104">
        <v>102940</v>
      </c>
      <c r="H101" s="110"/>
      <c r="I101" s="105">
        <f t="shared" si="4"/>
        <v>10656.562163456192</v>
      </c>
      <c r="J101" s="106">
        <f t="shared" si="3"/>
        <v>14596.490048571719</v>
      </c>
      <c r="K101" s="107">
        <f t="shared" si="5"/>
        <v>1.1226702281232085E+33</v>
      </c>
    </row>
    <row r="102" spans="1:11" ht="15.75" customHeight="1" x14ac:dyDescent="0.2">
      <c r="A102" s="102">
        <v>98</v>
      </c>
      <c r="B102" s="103">
        <v>7.9000000000000004E+36</v>
      </c>
      <c r="C102" s="102">
        <v>2.1760000000000002</v>
      </c>
      <c r="D102" s="102">
        <v>9290</v>
      </c>
      <c r="E102" s="102">
        <v>3.85389999999901</v>
      </c>
      <c r="F102" s="102">
        <v>1.0000000000000001E-5</v>
      </c>
      <c r="G102" s="104">
        <v>102960</v>
      </c>
      <c r="H102" s="110"/>
      <c r="I102" s="105">
        <f t="shared" si="4"/>
        <v>10674.954828707287</v>
      </c>
      <c r="J102" s="106">
        <f t="shared" si="3"/>
        <v>14113.606452100143</v>
      </c>
      <c r="K102" s="107">
        <f t="shared" si="5"/>
        <v>1.0696276513889559E+33</v>
      </c>
    </row>
    <row r="103" spans="1:11" ht="15.75" customHeight="1" x14ac:dyDescent="0.2">
      <c r="A103" s="102">
        <v>99</v>
      </c>
      <c r="B103" s="103">
        <v>7.9500000000000004E+36</v>
      </c>
      <c r="C103" s="102">
        <v>2.1880000000000002</v>
      </c>
      <c r="D103" s="102">
        <v>9310</v>
      </c>
      <c r="E103" s="102">
        <v>3.8649999999990001</v>
      </c>
      <c r="F103" s="102">
        <v>1.0000000000000001E-5</v>
      </c>
      <c r="G103" s="104">
        <v>102980</v>
      </c>
      <c r="H103" s="110"/>
      <c r="I103" s="105">
        <f t="shared" si="4"/>
        <v>10693.35809806876</v>
      </c>
      <c r="J103" s="106">
        <f t="shared" si="3"/>
        <v>13649.154171963011</v>
      </c>
      <c r="K103" s="107">
        <f t="shared" si="5"/>
        <v>1.0189915234194672E+33</v>
      </c>
    </row>
    <row r="104" spans="1:11" ht="15.75" customHeight="1" x14ac:dyDescent="0.2">
      <c r="A104" s="102">
        <v>100</v>
      </c>
      <c r="B104" s="103">
        <v>8.0000000000000003E+36</v>
      </c>
      <c r="C104" s="102">
        <v>2.2000000000000002</v>
      </c>
      <c r="D104" s="102">
        <v>9330</v>
      </c>
      <c r="E104" s="102">
        <v>3.8760999999989898</v>
      </c>
      <c r="F104" s="102">
        <v>1.0000000000000001E-5</v>
      </c>
      <c r="G104" s="104">
        <v>103000</v>
      </c>
      <c r="H104" s="110"/>
      <c r="I104" s="105">
        <f t="shared" si="4"/>
        <v>10711.771866947483</v>
      </c>
      <c r="J104" s="106">
        <f t="shared" si="3"/>
        <v>13202.342889058578</v>
      </c>
      <c r="K104" s="107">
        <f t="shared" si="5"/>
        <v>9.7065819397018245E+32</v>
      </c>
    </row>
    <row r="106" spans="1:11" x14ac:dyDescent="0.2">
      <c r="J106" s="115"/>
    </row>
  </sheetData>
  <phoneticPr fontId="2" type="noConversion"/>
  <pageMargins left="0.75" right="0.75" top="1" bottom="1" header="0.5" footer="0.5"/>
  <headerFooter alignWithMargins="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
  <dimension ref="A1:H21"/>
  <sheetViews>
    <sheetView workbookViewId="0">
      <selection activeCell="F6" sqref="F6"/>
    </sheetView>
  </sheetViews>
  <sheetFormatPr defaultRowHeight="12.75" x14ac:dyDescent="0.2"/>
  <cols>
    <col min="1" max="1" width="6.28515625" customWidth="1"/>
    <col min="2" max="2" width="12" bestFit="1" customWidth="1"/>
    <col min="4" max="4" width="15.42578125" customWidth="1"/>
    <col min="5" max="5" width="10.85546875" customWidth="1"/>
    <col min="6" max="6" width="12.42578125" bestFit="1" customWidth="1"/>
    <col min="7" max="7" width="13.28515625" bestFit="1" customWidth="1"/>
    <col min="8" max="8" width="13.140625" bestFit="1" customWidth="1"/>
  </cols>
  <sheetData>
    <row r="1" spans="1:8" x14ac:dyDescent="0.2">
      <c r="A1" t="s">
        <v>39</v>
      </c>
    </row>
    <row r="2" spans="1:8" x14ac:dyDescent="0.2">
      <c r="A2" t="s">
        <v>30</v>
      </c>
    </row>
    <row r="3" spans="1:8" ht="13.5" thickBot="1" x14ac:dyDescent="0.25"/>
    <row r="4" spans="1:8" ht="15" thickBot="1" x14ac:dyDescent="0.25">
      <c r="A4" s="22" t="s">
        <v>31</v>
      </c>
      <c r="B4" s="23" t="s">
        <v>32</v>
      </c>
      <c r="C4" s="23" t="s">
        <v>33</v>
      </c>
      <c r="D4" s="23" t="s">
        <v>34</v>
      </c>
      <c r="E4" s="23" t="s">
        <v>35</v>
      </c>
      <c r="F4" s="23" t="s">
        <v>36</v>
      </c>
      <c r="G4" s="23" t="s">
        <v>37</v>
      </c>
      <c r="H4" s="24" t="s">
        <v>38</v>
      </c>
    </row>
    <row r="5" spans="1:8" x14ac:dyDescent="0.2">
      <c r="A5" s="25">
        <v>0</v>
      </c>
      <c r="B5" s="26">
        <v>5</v>
      </c>
      <c r="C5" s="26">
        <f>(EXP(B5)-2-B5)^2</f>
        <v>19997.681567370644</v>
      </c>
      <c r="D5" s="26">
        <f>2*(EXP(B5)-2-B5)*(EXP(B5)-1)</f>
        <v>41692.321043972202</v>
      </c>
      <c r="E5" s="26">
        <f>2*(EXP(B5)-1)^2+2*(EXP(B5)-2-B5)*EXP(B5)</f>
        <v>85436.426315380493</v>
      </c>
      <c r="F5" s="26">
        <f>D5/E5</f>
        <v>0.48799233350501975</v>
      </c>
      <c r="G5" s="26">
        <f>F5</f>
        <v>0.48799233350501975</v>
      </c>
      <c r="H5" s="27"/>
    </row>
    <row r="6" spans="1:8" x14ac:dyDescent="0.2">
      <c r="A6" s="3">
        <v>1</v>
      </c>
      <c r="B6" s="1">
        <f>B5-G5</f>
        <v>4.5120076664949806</v>
      </c>
      <c r="C6" s="28">
        <f t="shared" ref="C6:C21" si="0">(EXP(B6)-2-B6)^2</f>
        <v>7155.8969601010858</v>
      </c>
      <c r="D6" s="28">
        <f t="shared" ref="D6:D21" si="1">2*(EXP(B6)-2-B6)*(EXP(B6)-1)</f>
        <v>15244.343321950217</v>
      </c>
      <c r="E6" s="28">
        <f t="shared" ref="E6:E21" si="2">2*(EXP(B6)-1)^2+2*(EXP(B6)-2-B6)*EXP(B6)</f>
        <v>31651.185572471124</v>
      </c>
      <c r="F6" s="28">
        <f t="shared" ref="F6:F21" si="3">D6/E6</f>
        <v>0.48163577591889978</v>
      </c>
      <c r="G6" s="28">
        <f t="shared" ref="G6:G21" si="4">F6</f>
        <v>0.48163577591889978</v>
      </c>
      <c r="H6" s="4">
        <f>B6-B5</f>
        <v>-0.48799233350501936</v>
      </c>
    </row>
    <row r="7" spans="1:8" x14ac:dyDescent="0.2">
      <c r="A7" s="3">
        <v>2</v>
      </c>
      <c r="B7" s="1">
        <f t="shared" ref="B7:B21" si="5">B6-G6</f>
        <v>4.030371890576081</v>
      </c>
      <c r="C7" s="28">
        <f t="shared" si="0"/>
        <v>2525.2098502490971</v>
      </c>
      <c r="D7" s="28">
        <f t="shared" si="1"/>
        <v>5555.9868260630383</v>
      </c>
      <c r="E7" s="28">
        <f t="shared" si="2"/>
        <v>11768.652992706404</v>
      </c>
      <c r="F7" s="28">
        <f t="shared" si="3"/>
        <v>0.4721004884336677</v>
      </c>
      <c r="G7" s="28">
        <f t="shared" si="4"/>
        <v>0.4721004884336677</v>
      </c>
      <c r="H7" s="4">
        <f t="shared" ref="H7:H21" si="6">B7-B6</f>
        <v>-0.48163577591889961</v>
      </c>
    </row>
    <row r="8" spans="1:8" x14ac:dyDescent="0.2">
      <c r="A8" s="29">
        <v>3</v>
      </c>
      <c r="B8" s="1">
        <f t="shared" si="5"/>
        <v>3.5582714021424131</v>
      </c>
      <c r="C8" s="28">
        <f t="shared" si="0"/>
        <v>872.85947120699689</v>
      </c>
      <c r="D8" s="28">
        <f t="shared" si="1"/>
        <v>2015.0598627567408</v>
      </c>
      <c r="E8" s="28">
        <f t="shared" si="2"/>
        <v>4400.1047126477297</v>
      </c>
      <c r="F8" s="28">
        <f t="shared" si="3"/>
        <v>0.45795725200916726</v>
      </c>
      <c r="G8" s="28">
        <f t="shared" si="4"/>
        <v>0.45795725200916726</v>
      </c>
      <c r="H8" s="4">
        <f t="shared" si="6"/>
        <v>-0.47210048843366792</v>
      </c>
    </row>
    <row r="9" spans="1:8" x14ac:dyDescent="0.2">
      <c r="A9" s="3">
        <v>4</v>
      </c>
      <c r="B9" s="1">
        <f t="shared" si="5"/>
        <v>3.1003141501332458</v>
      </c>
      <c r="C9" s="28">
        <f t="shared" si="0"/>
        <v>292.56774195981978</v>
      </c>
      <c r="D9" s="28">
        <f t="shared" si="1"/>
        <v>725.40404682406461</v>
      </c>
      <c r="E9" s="28">
        <f t="shared" si="2"/>
        <v>1658.9110322443944</v>
      </c>
      <c r="F9" s="28">
        <f t="shared" si="3"/>
        <v>0.43727724556912617</v>
      </c>
      <c r="G9" s="28">
        <f t="shared" si="4"/>
        <v>0.43727724556912617</v>
      </c>
      <c r="H9" s="4">
        <f t="shared" si="6"/>
        <v>-0.45795725200916726</v>
      </c>
    </row>
    <row r="10" spans="1:8" x14ac:dyDescent="0.2">
      <c r="A10" s="3">
        <v>5</v>
      </c>
      <c r="B10" s="1">
        <f t="shared" si="5"/>
        <v>2.6630369045641196</v>
      </c>
      <c r="C10" s="28">
        <f t="shared" si="0"/>
        <v>93.639193531914572</v>
      </c>
      <c r="D10" s="28">
        <f t="shared" si="1"/>
        <v>258.17085935826509</v>
      </c>
      <c r="E10" s="28">
        <f t="shared" si="2"/>
        <v>633.42333904405564</v>
      </c>
      <c r="F10" s="28">
        <f t="shared" si="3"/>
        <v>0.4075802760092313</v>
      </c>
      <c r="G10" s="28">
        <f t="shared" si="4"/>
        <v>0.4075802760092313</v>
      </c>
      <c r="H10" s="4">
        <f t="shared" si="6"/>
        <v>-0.43727724556912628</v>
      </c>
    </row>
    <row r="11" spans="1:8" x14ac:dyDescent="0.2">
      <c r="A11" s="29">
        <v>6</v>
      </c>
      <c r="B11" s="1">
        <f t="shared" si="5"/>
        <v>2.2554566285548883</v>
      </c>
      <c r="C11" s="28">
        <f t="shared" si="0"/>
        <v>27.922682588665623</v>
      </c>
      <c r="D11" s="28">
        <f t="shared" si="1"/>
        <v>90.250279380471554</v>
      </c>
      <c r="E11" s="28">
        <f t="shared" si="2"/>
        <v>246.66985221098358</v>
      </c>
      <c r="F11" s="28">
        <f t="shared" si="3"/>
        <v>0.36587478595997203</v>
      </c>
      <c r="G11" s="28">
        <f t="shared" si="4"/>
        <v>0.36587478595997203</v>
      </c>
      <c r="H11" s="4">
        <f t="shared" si="6"/>
        <v>-0.4075802760092313</v>
      </c>
    </row>
    <row r="12" spans="1:8" x14ac:dyDescent="0.2">
      <c r="A12" s="3">
        <v>7</v>
      </c>
      <c r="B12" s="1">
        <f t="shared" si="5"/>
        <v>1.8895818425949162</v>
      </c>
      <c r="C12" s="28">
        <f t="shared" si="0"/>
        <v>7.4366352391368897</v>
      </c>
      <c r="D12" s="28">
        <f t="shared" si="1"/>
        <v>30.633162420424711</v>
      </c>
      <c r="E12" s="28">
        <f t="shared" si="2"/>
        <v>99.179622191215685</v>
      </c>
      <c r="F12" s="28">
        <f t="shared" si="3"/>
        <v>0.30886548812784126</v>
      </c>
      <c r="G12" s="28">
        <f t="shared" si="4"/>
        <v>0.30886548812784126</v>
      </c>
      <c r="H12" s="4">
        <f t="shared" si="6"/>
        <v>-0.36587478595997203</v>
      </c>
    </row>
    <row r="13" spans="1:8" x14ac:dyDescent="0.2">
      <c r="A13" s="3">
        <v>8</v>
      </c>
      <c r="B13" s="1">
        <f t="shared" si="5"/>
        <v>1.580716354467075</v>
      </c>
      <c r="C13" s="28">
        <f t="shared" si="0"/>
        <v>1.6325647493469115</v>
      </c>
      <c r="D13" s="28">
        <f t="shared" si="1"/>
        <v>9.8599879292558814</v>
      </c>
      <c r="E13" s="28">
        <f t="shared" si="2"/>
        <v>42.190465237590068</v>
      </c>
      <c r="F13" s="28">
        <f t="shared" si="3"/>
        <v>0.23370180617186023</v>
      </c>
      <c r="G13" s="28">
        <f t="shared" si="4"/>
        <v>0.23370180617186023</v>
      </c>
      <c r="H13" s="4">
        <f t="shared" si="6"/>
        <v>-0.3088654881278412</v>
      </c>
    </row>
    <row r="14" spans="1:8" x14ac:dyDescent="0.2">
      <c r="A14" s="29">
        <v>9</v>
      </c>
      <c r="B14" s="1">
        <f t="shared" si="5"/>
        <v>1.3470145482952147</v>
      </c>
      <c r="C14" s="28">
        <f t="shared" si="0"/>
        <v>0.2489131818949584</v>
      </c>
      <c r="D14" s="28">
        <f t="shared" si="1"/>
        <v>2.8397337997296583</v>
      </c>
      <c r="E14" s="28">
        <f t="shared" si="2"/>
        <v>20.036153611511693</v>
      </c>
      <c r="F14" s="28">
        <f t="shared" si="3"/>
        <v>0.1417304865389982</v>
      </c>
      <c r="G14" s="28">
        <f t="shared" si="4"/>
        <v>0.1417304865389982</v>
      </c>
      <c r="H14" s="4">
        <f t="shared" si="6"/>
        <v>-0.23370180617186032</v>
      </c>
    </row>
    <row r="15" spans="1:8" x14ac:dyDescent="0.2">
      <c r="A15" s="3">
        <v>10</v>
      </c>
      <c r="B15" s="1">
        <f t="shared" si="5"/>
        <v>1.2052840617562166</v>
      </c>
      <c r="C15" s="28">
        <f t="shared" si="0"/>
        <v>1.7535850026161929E-2</v>
      </c>
      <c r="D15" s="28">
        <f t="shared" si="1"/>
        <v>0.61913234763694935</v>
      </c>
      <c r="E15" s="28">
        <f t="shared" si="2"/>
        <v>11.813726922112682</v>
      </c>
      <c r="F15" s="28">
        <f t="shared" si="3"/>
        <v>5.2407877016191276E-2</v>
      </c>
      <c r="G15" s="28">
        <f t="shared" si="4"/>
        <v>5.2407877016191276E-2</v>
      </c>
      <c r="H15" s="4">
        <f t="shared" si="6"/>
        <v>-0.14173048653899811</v>
      </c>
    </row>
    <row r="16" spans="1:8" x14ac:dyDescent="0.2">
      <c r="A16" s="3">
        <v>11</v>
      </c>
      <c r="B16" s="1">
        <f t="shared" si="5"/>
        <v>1.1528761847400253</v>
      </c>
      <c r="C16" s="28">
        <f t="shared" si="0"/>
        <v>2.0774456349982338E-4</v>
      </c>
      <c r="D16" s="28">
        <f t="shared" si="1"/>
        <v>6.2475790893218794E-2</v>
      </c>
      <c r="E16" s="28">
        <f t="shared" si="2"/>
        <v>9.4855903106223192</v>
      </c>
      <c r="F16" s="28">
        <f t="shared" si="3"/>
        <v>6.586389338706318E-3</v>
      </c>
      <c r="G16" s="28">
        <f t="shared" si="4"/>
        <v>6.586389338706318E-3</v>
      </c>
      <c r="H16" s="4">
        <f t="shared" si="6"/>
        <v>-5.2407877016191318E-2</v>
      </c>
    </row>
    <row r="17" spans="1:8" x14ac:dyDescent="0.2">
      <c r="A17" s="29">
        <v>12</v>
      </c>
      <c r="B17" s="1">
        <f t="shared" si="5"/>
        <v>1.1462897954013189</v>
      </c>
      <c r="C17" s="28">
        <f t="shared" si="0"/>
        <v>4.2966164131341645E-8</v>
      </c>
      <c r="D17" s="28">
        <f t="shared" si="1"/>
        <v>8.8986390044395092E-4</v>
      </c>
      <c r="E17" s="28">
        <f t="shared" si="2"/>
        <v>9.2162038430805815</v>
      </c>
      <c r="F17" s="28">
        <f t="shared" si="3"/>
        <v>9.6554277183446888E-5</v>
      </c>
      <c r="G17" s="28">
        <f t="shared" si="4"/>
        <v>9.6554277183446888E-5</v>
      </c>
      <c r="H17" s="4">
        <f t="shared" si="6"/>
        <v>-6.5863893387063666E-3</v>
      </c>
    </row>
    <row r="18" spans="1:8" x14ac:dyDescent="0.2">
      <c r="A18" s="3">
        <v>13</v>
      </c>
      <c r="B18" s="1">
        <f t="shared" si="5"/>
        <v>1.1461932411241356</v>
      </c>
      <c r="C18" s="28">
        <f t="shared" si="0"/>
        <v>1.9364036845487359E-15</v>
      </c>
      <c r="D18" s="28">
        <f t="shared" si="1"/>
        <v>1.8888469863471395E-7</v>
      </c>
      <c r="E18" s="28">
        <f t="shared" si="2"/>
        <v>9.21229151115711</v>
      </c>
      <c r="F18" s="28">
        <f t="shared" si="3"/>
        <v>2.0503552064755393E-8</v>
      </c>
      <c r="G18" s="28">
        <f t="shared" si="4"/>
        <v>2.0503552064755393E-8</v>
      </c>
      <c r="H18" s="4">
        <f t="shared" si="6"/>
        <v>-9.6554277183358295E-5</v>
      </c>
    </row>
    <row r="19" spans="1:8" x14ac:dyDescent="0.2">
      <c r="A19" s="3">
        <v>14</v>
      </c>
      <c r="B19" s="1">
        <f t="shared" si="5"/>
        <v>1.1461932206205836</v>
      </c>
      <c r="C19" s="28">
        <f t="shared" si="0"/>
        <v>3.9936083326813723E-30</v>
      </c>
      <c r="D19" s="28">
        <f t="shared" si="1"/>
        <v>8.5779112637786125E-15</v>
      </c>
      <c r="E19" s="28">
        <f t="shared" si="2"/>
        <v>9.2122906804755349</v>
      </c>
      <c r="F19" s="28">
        <f t="shared" si="3"/>
        <v>9.3113771170492681E-16</v>
      </c>
      <c r="G19" s="28">
        <f t="shared" si="4"/>
        <v>9.3113771170492681E-16</v>
      </c>
      <c r="H19" s="4">
        <f t="shared" si="6"/>
        <v>-2.0503551967365752E-8</v>
      </c>
    </row>
    <row r="20" spans="1:8" x14ac:dyDescent="0.2">
      <c r="A20" s="29">
        <v>15</v>
      </c>
      <c r="B20" s="1">
        <f t="shared" si="5"/>
        <v>1.1461932206205827</v>
      </c>
      <c r="C20" s="28">
        <f t="shared" si="0"/>
        <v>4.9303806576313238E-32</v>
      </c>
      <c r="D20" s="28">
        <f t="shared" si="1"/>
        <v>9.5310125153095579E-16</v>
      </c>
      <c r="E20" s="28">
        <f t="shared" si="2"/>
        <v>9.2122906804755029</v>
      </c>
      <c r="F20" s="28">
        <f t="shared" si="3"/>
        <v>1.034597457449921E-16</v>
      </c>
      <c r="G20" s="28">
        <f t="shared" si="4"/>
        <v>1.034597457449921E-16</v>
      </c>
      <c r="H20" s="4">
        <f t="shared" si="6"/>
        <v>0</v>
      </c>
    </row>
    <row r="21" spans="1:8" ht="13.5" thickBot="1" x14ac:dyDescent="0.25">
      <c r="A21" s="30">
        <v>16</v>
      </c>
      <c r="B21" s="5">
        <f t="shared" si="5"/>
        <v>1.1461932206205827</v>
      </c>
      <c r="C21" s="31">
        <f t="shared" si="0"/>
        <v>4.9303806576313238E-32</v>
      </c>
      <c r="D21" s="31">
        <f t="shared" si="1"/>
        <v>9.5310125153095579E-16</v>
      </c>
      <c r="E21" s="31">
        <f t="shared" si="2"/>
        <v>9.2122906804755029</v>
      </c>
      <c r="F21" s="31">
        <f t="shared" si="3"/>
        <v>1.034597457449921E-16</v>
      </c>
      <c r="G21" s="31">
        <f t="shared" si="4"/>
        <v>1.034597457449921E-16</v>
      </c>
      <c r="H21" s="6">
        <f t="shared" si="6"/>
        <v>0</v>
      </c>
    </row>
  </sheetData>
  <phoneticPr fontId="2" type="noConversion"/>
  <pageMargins left="0.75" right="0.75" top="1" bottom="1" header="0.5" footer="0.5"/>
  <pageSetup paperSize="9" orientation="portrait" horizontalDpi="200" verticalDpi="200"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3"/>
  <dimension ref="A1:R121"/>
  <sheetViews>
    <sheetView tabSelected="1" topLeftCell="A73" zoomScale="85" zoomScaleNormal="85" workbookViewId="0">
      <selection activeCell="J110" sqref="J110"/>
    </sheetView>
  </sheetViews>
  <sheetFormatPr defaultRowHeight="12.75" x14ac:dyDescent="0.2"/>
  <cols>
    <col min="1" max="1" width="4.85546875" customWidth="1"/>
    <col min="2" max="2" width="10.7109375" customWidth="1"/>
    <col min="3" max="3" width="12.7109375" bestFit="1" customWidth="1"/>
    <col min="4" max="4" width="15.140625" customWidth="1"/>
    <col min="5" max="5" width="6.42578125" bestFit="1" customWidth="1"/>
    <col min="6" max="6" width="12" bestFit="1" customWidth="1"/>
    <col min="7" max="7" width="9" bestFit="1" customWidth="1"/>
    <col min="8" max="8" width="6.42578125" bestFit="1" customWidth="1"/>
    <col min="9" max="10" width="12.42578125" bestFit="1" customWidth="1"/>
  </cols>
  <sheetData>
    <row r="1" spans="1:18" x14ac:dyDescent="0.2">
      <c r="A1" t="s">
        <v>61</v>
      </c>
    </row>
    <row r="2" spans="1:18" x14ac:dyDescent="0.2">
      <c r="A2" t="s">
        <v>62</v>
      </c>
    </row>
    <row r="3" spans="1:18" x14ac:dyDescent="0.2">
      <c r="A3" t="s">
        <v>63</v>
      </c>
    </row>
    <row r="4" spans="1:18" ht="13.5" thickBot="1" x14ac:dyDescent="0.25">
      <c r="A4" t="s">
        <v>64</v>
      </c>
    </row>
    <row r="5" spans="1:18" ht="52.5" customHeight="1" thickBot="1" x14ac:dyDescent="0.3">
      <c r="A5" s="136" t="s">
        <v>47</v>
      </c>
      <c r="B5" s="137"/>
      <c r="C5" s="137"/>
      <c r="D5" s="138"/>
      <c r="E5" s="136" t="s">
        <v>48</v>
      </c>
      <c r="F5" s="137"/>
      <c r="G5" s="137"/>
      <c r="H5" s="137"/>
      <c r="I5" s="137"/>
      <c r="J5" s="138"/>
      <c r="L5">
        <v>3</v>
      </c>
    </row>
    <row r="6" spans="1:18" ht="70.5" customHeight="1" thickBot="1" x14ac:dyDescent="0.3">
      <c r="A6" s="79" t="s">
        <v>1</v>
      </c>
      <c r="B6" s="80" t="s">
        <v>41</v>
      </c>
      <c r="C6" s="80" t="s">
        <v>42</v>
      </c>
      <c r="D6" s="80" t="s">
        <v>43</v>
      </c>
      <c r="E6" s="80" t="s">
        <v>44</v>
      </c>
      <c r="F6" s="80" t="s">
        <v>45</v>
      </c>
      <c r="G6" s="80" t="s">
        <v>49</v>
      </c>
      <c r="H6" s="80" t="s">
        <v>46</v>
      </c>
      <c r="I6" s="80" t="s">
        <v>49</v>
      </c>
      <c r="J6" s="81" t="s">
        <v>50</v>
      </c>
    </row>
    <row r="7" spans="1:18" ht="13.5" thickBot="1" x14ac:dyDescent="0.25">
      <c r="A7" s="29">
        <v>1</v>
      </c>
      <c r="B7" s="28">
        <f ca="1">IF(A7=sheet4!$A$7,sheet4!$B$7,B7)</f>
        <v>17106.944046109369</v>
      </c>
      <c r="C7" s="28">
        <f ca="1">ABS($F$7-B7)</f>
        <v>8126.5782723908596</v>
      </c>
      <c r="D7" s="72"/>
      <c r="E7" s="73">
        <f>INDEX(H7:H27,L5)</f>
        <v>1.1000000000000001</v>
      </c>
      <c r="F7" s="74">
        <f>sheet1!I6</f>
        <v>8980.3657737185094</v>
      </c>
      <c r="G7" s="75">
        <f ca="1">IF(sheet4!$K$7&lt;10,IF(sheet4!$K$7&gt;8,ABS((D14-D13)/D14),IF(sheet4!$K$7&gt;7,ABS((D13-D12)/D13),IF(sheet4!$K$7&gt;6,ABS((D12-D11)/D12),IF(sheet4!$K$7&gt;5,ABS((D11-D10)/D11),IF(sheet4!$K$7&gt;4,ABS((D10-D9)/D10),IF(sheet4!$K$7&gt;3,ABS((D9-D8)/D9),"Think: N&lt;=3 !!!")))))),IF(sheet4!$K$7&gt;15,IF(sheet4!$K$7&gt;20,ABS((D26-D25)/D26),IF(sheet4!K7&gt;19,ABS((D25-D24)/D25),IF(sheet4!$K$7&gt;18,ABS((D24-D23)/D24),IF(sheet4!$K$7&gt;17,ABS((D23-D22)/D23),IF(sheet4!$K$7&gt;15,ABS((D21-D20)/D21)))))),IF(sheet4!$K$7&gt;14,ABS((D20-D19)/D20),IF(sheet4!$K$7&gt;13,ABS((D19-D18)/D19),IF(sheet4!$K$7&gt;12,ABS((D18-D17)/D18),IF(sheet4!$K$7&gt;11,ABS((D17-D16)/D17),IF(sheet4!$K$7&gt;10,ABS((D16-D15)/D16),ABS((D15-D14)/D15))))))))</f>
        <v>1.79708111334052E-2</v>
      </c>
      <c r="H7" s="76">
        <v>1</v>
      </c>
      <c r="I7" s="77">
        <f ca="1">IF($E$7=H7,$G$7,I7)</f>
        <v>8.0457300984145778E-4</v>
      </c>
      <c r="J7" s="78">
        <f ca="1">MIN(I7:I27)</f>
        <v>8.0457300984145778E-4</v>
      </c>
    </row>
    <row r="8" spans="1:18" x14ac:dyDescent="0.2">
      <c r="A8" s="3">
        <v>2</v>
      </c>
      <c r="B8" s="28">
        <f ca="1">IF(A8=sheet4!$A$7,sheet4!$B$7,B8)</f>
        <v>20932.683807253856</v>
      </c>
      <c r="C8" s="28">
        <f t="shared" ref="C8:C26" ca="1" si="0">ABS($F$7-B8)</f>
        <v>11952.318033535346</v>
      </c>
      <c r="D8" s="4">
        <f ca="1">C8/C7^$E$7</f>
        <v>0.59779688213102311</v>
      </c>
      <c r="H8" s="47">
        <v>1.05</v>
      </c>
      <c r="I8" s="4">
        <f t="shared" ref="I8:I26" ca="1" si="1">IF($E$7=H8,$G$7,I8)</f>
        <v>9.3511990248220881E-3</v>
      </c>
    </row>
    <row r="9" spans="1:18" x14ac:dyDescent="0.2">
      <c r="A9" s="3">
        <v>3</v>
      </c>
      <c r="B9" s="28">
        <f ca="1">IF(A9=sheet4!$A$7,sheet4!$B$7,B9)</f>
        <v>25270.838465646266</v>
      </c>
      <c r="C9" s="28">
        <f t="shared" ca="1" si="0"/>
        <v>16290.472691927756</v>
      </c>
      <c r="D9" s="4">
        <f t="shared" ref="D9:D26" ca="1" si="2">C9/C8^$E$7</f>
        <v>0.53301119600807811</v>
      </c>
      <c r="H9" s="47">
        <v>1.1000000000000001</v>
      </c>
      <c r="I9" s="4">
        <f t="shared" ca="1" si="1"/>
        <v>1.79708111334052E-2</v>
      </c>
    </row>
    <row r="10" spans="1:18" ht="12.75" customHeight="1" x14ac:dyDescent="0.2">
      <c r="A10" s="3">
        <v>4</v>
      </c>
      <c r="B10" s="28">
        <f ca="1">IF(A10=sheet4!$A$7,sheet4!$B$7,B10)</f>
        <v>30299.525698403788</v>
      </c>
      <c r="C10" s="28">
        <f t="shared" ca="1" si="0"/>
        <v>21319.159924685278</v>
      </c>
      <c r="D10" s="4">
        <f t="shared" ca="1" si="2"/>
        <v>0.49618431622948367</v>
      </c>
      <c r="H10" s="47">
        <v>1.1499999999999999</v>
      </c>
      <c r="I10" s="4">
        <f t="shared" ca="1" si="1"/>
        <v>2.6664032618953202E-2</v>
      </c>
      <c r="K10" s="131"/>
      <c r="L10" s="131"/>
      <c r="M10" s="131"/>
      <c r="N10" s="131"/>
      <c r="O10" s="131"/>
      <c r="P10" s="131"/>
      <c r="Q10" s="131"/>
      <c r="R10" s="131"/>
    </row>
    <row r="11" spans="1:18" x14ac:dyDescent="0.2">
      <c r="A11" s="3">
        <v>5</v>
      </c>
      <c r="B11" s="28">
        <f ca="1">IF(A11=sheet4!$A$7,sheet4!$B$7,B11)</f>
        <v>36176.80553950146</v>
      </c>
      <c r="C11" s="28">
        <f t="shared" ca="1" si="0"/>
        <v>27196.43976578295</v>
      </c>
      <c r="D11" s="4">
        <f t="shared" ca="1" si="2"/>
        <v>0.47083090176897707</v>
      </c>
      <c r="H11" s="47">
        <v>1.2</v>
      </c>
      <c r="I11" s="4">
        <f t="shared" ca="1" si="1"/>
        <v>3.543149208752825E-2</v>
      </c>
      <c r="K11" s="131"/>
      <c r="L11" s="131"/>
      <c r="M11" s="131"/>
      <c r="N11" s="131"/>
      <c r="O11" s="131"/>
      <c r="P11" s="131"/>
      <c r="Q11" s="131"/>
      <c r="R11" s="131"/>
    </row>
    <row r="12" spans="1:18" ht="12.75" customHeight="1" x14ac:dyDescent="0.2">
      <c r="A12" s="3">
        <v>6</v>
      </c>
      <c r="B12" s="28">
        <f ca="1">IF(A12=sheet4!$A$7,sheet4!$B$7,B12)</f>
        <v>43072.358917001817</v>
      </c>
      <c r="C12" s="28">
        <f t="shared" ca="1" si="0"/>
        <v>34091.993143283311</v>
      </c>
      <c r="D12" s="4">
        <f t="shared" ca="1" si="2"/>
        <v>0.45153262142797712</v>
      </c>
      <c r="H12" s="47">
        <v>1.25</v>
      </c>
      <c r="I12" s="4">
        <f t="shared" ca="1" si="1"/>
        <v>4.427382351332633E-2</v>
      </c>
      <c r="K12" s="131"/>
      <c r="L12" s="131"/>
      <c r="M12" s="131"/>
      <c r="N12" s="131"/>
      <c r="O12" s="131"/>
      <c r="P12" s="131"/>
      <c r="Q12" s="131"/>
      <c r="R12" s="131"/>
    </row>
    <row r="13" spans="1:18" x14ac:dyDescent="0.2">
      <c r="A13" s="3">
        <v>7</v>
      </c>
      <c r="B13" s="28">
        <f ca="1">IF(A13=sheet4!$A$7,sheet4!$B$7,B13)</f>
        <v>51179.05282681901</v>
      </c>
      <c r="C13" s="28">
        <f t="shared" ca="1" si="0"/>
        <v>42198.687053100497</v>
      </c>
      <c r="D13" s="4">
        <f t="shared" ca="1" si="2"/>
        <v>0.4358944175612367</v>
      </c>
      <c r="H13" s="47">
        <v>1.3</v>
      </c>
      <c r="I13" s="4">
        <f t="shared" ca="1" si="1"/>
        <v>5.3191666284527164E-2</v>
      </c>
      <c r="K13" s="131"/>
      <c r="L13" s="131"/>
      <c r="M13" s="131"/>
      <c r="N13" s="131"/>
      <c r="O13" s="131"/>
      <c r="P13" s="131"/>
      <c r="Q13" s="131"/>
      <c r="R13" s="131"/>
    </row>
    <row r="14" spans="1:18" x14ac:dyDescent="0.2">
      <c r="A14" s="3">
        <v>8</v>
      </c>
      <c r="B14" s="28">
        <f ca="1">IF(A14=sheet4!$A$7,sheet4!$B$7,B14)</f>
        <v>60720.639487175271</v>
      </c>
      <c r="C14" s="28">
        <f t="shared" ca="1" si="0"/>
        <v>51740.273713456758</v>
      </c>
      <c r="D14" s="4">
        <f t="shared" ca="1" si="2"/>
        <v>0.42266850645012949</v>
      </c>
      <c r="H14" s="47">
        <v>1.35</v>
      </c>
      <c r="I14" s="4">
        <f t="shared" ca="1" si="1"/>
        <v>6.2185665249541611E-2</v>
      </c>
      <c r="K14" s="131"/>
      <c r="L14" s="131"/>
      <c r="M14" s="131"/>
      <c r="N14" s="131"/>
      <c r="O14" s="131"/>
      <c r="P14" s="131"/>
      <c r="Q14" s="131"/>
      <c r="R14" s="131"/>
    </row>
    <row r="15" spans="1:18" x14ac:dyDescent="0.2">
      <c r="A15" s="3">
        <v>9</v>
      </c>
      <c r="B15" s="28">
        <f ca="1">IF(A15=sheet4!$A$7,sheet4!$B$7,B15)</f>
        <v>71958.888664110142</v>
      </c>
      <c r="C15" s="28">
        <f t="shared" ca="1" si="0"/>
        <v>62978.522890391629</v>
      </c>
      <c r="D15" s="4">
        <f t="shared" ca="1" si="2"/>
        <v>0.41113161700163142</v>
      </c>
      <c r="H15" s="47">
        <v>1.4</v>
      </c>
      <c r="I15" s="4">
        <f t="shared" ca="1" si="1"/>
        <v>7.1256470763608776E-2</v>
      </c>
      <c r="K15" s="131"/>
      <c r="L15" s="131"/>
      <c r="M15" s="131"/>
      <c r="N15" s="131"/>
      <c r="O15" s="131"/>
      <c r="P15" s="131"/>
      <c r="Q15" s="131"/>
      <c r="R15" s="131"/>
    </row>
    <row r="16" spans="1:18" x14ac:dyDescent="0.2">
      <c r="A16" s="3">
        <v>10</v>
      </c>
      <c r="B16" s="28">
        <f ca="1">IF(A16=sheet4!$A$7,sheet4!$B$7,B16)</f>
        <v>85201.216697007738</v>
      </c>
      <c r="C16" s="28">
        <f t="shared" ca="1" si="0"/>
        <v>76220.850923289225</v>
      </c>
      <c r="D16" s="4">
        <f t="shared" ca="1" si="2"/>
        <v>0.40083171367045145</v>
      </c>
      <c r="H16" s="47">
        <v>1.45</v>
      </c>
      <c r="I16" s="4">
        <f t="shared" ca="1" si="1"/>
        <v>8.0404738735856129E-2</v>
      </c>
      <c r="K16" s="131"/>
      <c r="L16" s="131"/>
      <c r="M16" s="131"/>
      <c r="N16" s="131"/>
      <c r="O16" s="131"/>
      <c r="P16" s="131"/>
      <c r="Q16" s="131"/>
      <c r="R16" s="131"/>
    </row>
    <row r="17" spans="1:18" x14ac:dyDescent="0.2">
      <c r="A17" s="3">
        <v>11</v>
      </c>
      <c r="B17" s="28">
        <f ca="1">IF(A17=sheet4!$A$7,sheet4!$B$7,B17)</f>
        <v>100809.3236074399</v>
      </c>
      <c r="C17" s="28">
        <f t="shared" ca="1" si="0"/>
        <v>91828.95783372139</v>
      </c>
      <c r="D17" s="4">
        <f t="shared" ca="1" si="2"/>
        <v>0.39146999775671099</v>
      </c>
      <c r="H17" s="47">
        <v>1.5</v>
      </c>
      <c r="I17" s="4">
        <f t="shared" ca="1" si="1"/>
        <v>8.9631130676714896E-2</v>
      </c>
      <c r="K17" s="131"/>
      <c r="L17" s="131"/>
      <c r="M17" s="131"/>
      <c r="N17" s="131"/>
      <c r="O17" s="131"/>
      <c r="P17" s="131"/>
      <c r="Q17" s="131"/>
      <c r="R17" s="131"/>
    </row>
    <row r="18" spans="1:18" x14ac:dyDescent="0.2">
      <c r="A18" s="3">
        <v>12</v>
      </c>
      <c r="B18" s="28">
        <f ca="1">IF(A18=sheet4!$A$7,sheet4!$B$7,B18)</f>
        <v>119209.1962363093</v>
      </c>
      <c r="C18" s="28">
        <f t="shared" ca="1" si="0"/>
        <v>110228.83046259079</v>
      </c>
      <c r="D18" s="4">
        <f t="shared" ca="1" si="2"/>
        <v>0.38284023879109247</v>
      </c>
      <c r="H18" s="47">
        <v>1.55</v>
      </c>
      <c r="I18" s="4">
        <f t="shared" ca="1" si="1"/>
        <v>9.8936313745740245E-2</v>
      </c>
      <c r="K18" s="131"/>
      <c r="L18" s="131"/>
      <c r="M18" s="131"/>
      <c r="N18" s="131"/>
      <c r="O18" s="131"/>
      <c r="P18" s="131"/>
      <c r="Q18" s="131"/>
      <c r="R18" s="131"/>
    </row>
    <row r="19" spans="1:18" x14ac:dyDescent="0.2">
      <c r="A19" s="3">
        <v>13</v>
      </c>
      <c r="B19" s="28">
        <f ca="1">IF(A19=sheet4!$A$7,sheet4!$B$7,B19)</f>
        <v>140902.80507798525</v>
      </c>
      <c r="C19" s="28">
        <f t="shared" ca="1" si="0"/>
        <v>131922.43930426674</v>
      </c>
      <c r="D19" s="4">
        <f t="shared" ca="1" si="2"/>
        <v>0.37479514241534506</v>
      </c>
      <c r="H19" s="47">
        <v>1.6</v>
      </c>
      <c r="I19" s="4">
        <f t="shared" ca="1" si="1"/>
        <v>0.10832096079988018</v>
      </c>
      <c r="K19" s="131"/>
      <c r="L19" s="131"/>
      <c r="M19" s="131"/>
      <c r="N19" s="131"/>
      <c r="O19" s="131"/>
      <c r="P19" s="131"/>
      <c r="Q19" s="131"/>
      <c r="R19" s="131"/>
    </row>
    <row r="20" spans="1:18" x14ac:dyDescent="0.2">
      <c r="A20" s="3">
        <v>14</v>
      </c>
      <c r="B20" s="28">
        <f ca="1">IF(A20=sheet4!$A$7,sheet4!$B$7,B20)</f>
        <v>166481.84044119404</v>
      </c>
      <c r="C20" s="28">
        <f t="shared" ca="1" si="0"/>
        <v>157501.47466747553</v>
      </c>
      <c r="D20" s="4">
        <f t="shared" ca="1" si="2"/>
        <v>0.36722655971997259</v>
      </c>
      <c r="H20" s="47">
        <v>1.65</v>
      </c>
      <c r="I20" s="4">
        <f t="shared" ca="1" si="1"/>
        <v>0.1177857504421148</v>
      </c>
      <c r="K20" s="131"/>
      <c r="L20" s="131"/>
      <c r="M20" s="131"/>
      <c r="N20" s="131"/>
      <c r="O20" s="131"/>
      <c r="P20" s="131"/>
      <c r="Q20" s="131"/>
      <c r="R20" s="131"/>
    </row>
    <row r="21" spans="1:18" x14ac:dyDescent="0.2">
      <c r="A21" s="3">
        <v>15</v>
      </c>
      <c r="B21" s="28">
        <f ca="1">IF(A21=sheet4!$A$7,sheet4!$B$7,B21)</f>
        <v>196643.87630412253</v>
      </c>
      <c r="C21" s="28">
        <f t="shared" ca="1" si="0"/>
        <v>187663.51053040402</v>
      </c>
      <c r="D21" s="4">
        <f t="shared" ca="1" si="2"/>
        <v>0.36005326157546136</v>
      </c>
      <c r="H21" s="47">
        <v>1.7</v>
      </c>
      <c r="I21" s="4">
        <f t="shared" ca="1" si="1"/>
        <v>0.1273313670705169</v>
      </c>
      <c r="K21" s="131"/>
      <c r="L21" s="131"/>
      <c r="M21" s="131"/>
      <c r="N21" s="131"/>
      <c r="O21" s="131"/>
      <c r="P21" s="131"/>
      <c r="Q21" s="131"/>
      <c r="R21" s="131"/>
    </row>
    <row r="22" spans="1:18" x14ac:dyDescent="0.2">
      <c r="A22" s="3">
        <v>16</v>
      </c>
      <c r="B22" s="28">
        <f ca="1">IF(A22=sheet4!$A$7,sheet4!$B$7,B22)</f>
        <v>232211.41013737119</v>
      </c>
      <c r="C22" s="28">
        <f t="shared" ca="1" si="0"/>
        <v>223231.04436365268</v>
      </c>
      <c r="D22" s="4">
        <f t="shared" ca="1" si="2"/>
        <v>0.35321307469316998</v>
      </c>
      <c r="H22" s="47">
        <v>1.75</v>
      </c>
      <c r="I22" s="4">
        <f t="shared" ca="1" si="1"/>
        <v>0.13695850092776193</v>
      </c>
      <c r="K22" s="131"/>
      <c r="L22" s="131"/>
      <c r="M22" s="131"/>
      <c r="N22" s="131"/>
      <c r="O22" s="131"/>
      <c r="P22" s="131"/>
      <c r="Q22" s="131"/>
      <c r="R22" s="131"/>
    </row>
    <row r="23" spans="1:18" x14ac:dyDescent="0.2">
      <c r="A23" s="3">
        <v>17</v>
      </c>
      <c r="B23" s="28">
        <f ca="1">IF(A23=sheet4!$A$7,sheet4!$B$7,B23)</f>
        <v>274154.30213392409</v>
      </c>
      <c r="C23" s="28">
        <f t="shared" ca="1" si="0"/>
        <v>265173.93636020558</v>
      </c>
      <c r="D23" s="4">
        <f t="shared" ca="1" si="2"/>
        <v>0.3466576474114203</v>
      </c>
      <c r="H23" s="47">
        <v>1.8</v>
      </c>
      <c r="I23" s="4">
        <f t="shared" ca="1" si="1"/>
        <v>0.1466678481510296</v>
      </c>
      <c r="K23" s="135" t="s">
        <v>108</v>
      </c>
      <c r="L23" s="135"/>
      <c r="M23" s="135"/>
      <c r="N23" s="135"/>
      <c r="O23" s="135"/>
      <c r="P23" s="135"/>
      <c r="Q23" s="135"/>
      <c r="R23" s="131"/>
    </row>
    <row r="24" spans="1:18" ht="12.75" customHeight="1" x14ac:dyDescent="0.2">
      <c r="A24" s="3">
        <v>18</v>
      </c>
      <c r="B24" s="28">
        <f ca="1">IF(A24=sheet4!$A$7,sheet4!$B$7,B24)</f>
        <v>323616.22821259242</v>
      </c>
      <c r="C24" s="28">
        <f t="shared" ca="1" si="0"/>
        <v>314635.86243887391</v>
      </c>
      <c r="D24" s="4">
        <f t="shared" ca="1" si="2"/>
        <v>0.34034886233324041</v>
      </c>
      <c r="H24" s="47">
        <v>1.85</v>
      </c>
      <c r="I24" s="4">
        <f t="shared" ca="1" si="1"/>
        <v>0.15646011082232872</v>
      </c>
      <c r="K24" s="135"/>
      <c r="L24" s="135"/>
      <c r="M24" s="135"/>
      <c r="N24" s="135"/>
      <c r="O24" s="135"/>
      <c r="P24" s="135"/>
      <c r="Q24" s="135"/>
      <c r="R24" s="131"/>
    </row>
    <row r="25" spans="1:18" x14ac:dyDescent="0.2">
      <c r="A25" s="3">
        <v>19</v>
      </c>
      <c r="B25" s="28">
        <f ca="1">IF(A25=sheet4!$A$7,sheet4!$B$7,B25)</f>
        <v>381945.86960902566</v>
      </c>
      <c r="C25" s="28">
        <f t="shared" ca="1" si="0"/>
        <v>372965.50383530714</v>
      </c>
      <c r="D25" s="4">
        <f t="shared" ca="1" si="2"/>
        <v>0.33425631463395988</v>
      </c>
      <c r="H25" s="47">
        <v>1.9</v>
      </c>
      <c r="I25" s="4">
        <f t="shared" ca="1" si="1"/>
        <v>0.16633599701929222</v>
      </c>
      <c r="K25" s="135"/>
      <c r="L25" s="135"/>
      <c r="M25" s="135"/>
      <c r="N25" s="135"/>
      <c r="O25" s="135"/>
      <c r="P25" s="135"/>
      <c r="Q25" s="135"/>
      <c r="R25" s="131"/>
    </row>
    <row r="26" spans="1:18" ht="13.5" thickBot="1" x14ac:dyDescent="0.25">
      <c r="A26" s="30">
        <v>20</v>
      </c>
      <c r="B26" s="28">
        <f ca="1">IF(A26=sheet4!$A$7,sheet4!$B$7,B26)</f>
        <v>450733.69043892238</v>
      </c>
      <c r="C26" s="28">
        <f t="shared" ca="1" si="0"/>
        <v>441753.32466520387</v>
      </c>
      <c r="D26" s="4">
        <f t="shared" ca="1" si="2"/>
        <v>0.32835549995957158</v>
      </c>
      <c r="H26" s="47">
        <v>1.95</v>
      </c>
      <c r="I26" s="4">
        <f t="shared" ca="1" si="1"/>
        <v>0.17629622086634228</v>
      </c>
      <c r="K26" s="135"/>
      <c r="L26" s="135"/>
      <c r="M26" s="135"/>
      <c r="N26" s="135"/>
      <c r="O26" s="135"/>
      <c r="P26" s="135"/>
      <c r="Q26" s="135"/>
      <c r="R26" s="131"/>
    </row>
    <row r="27" spans="1:18" ht="13.5" thickBot="1" x14ac:dyDescent="0.25">
      <c r="H27" s="48">
        <v>2</v>
      </c>
      <c r="I27" s="6">
        <f ca="1">IF($E$7=H27,$G$7,I27)</f>
        <v>0.18634150258637927</v>
      </c>
      <c r="K27" s="135"/>
      <c r="L27" s="135"/>
      <c r="M27" s="135"/>
      <c r="N27" s="135"/>
      <c r="O27" s="135"/>
      <c r="P27" s="135"/>
      <c r="Q27" s="135"/>
      <c r="R27" s="131"/>
    </row>
    <row r="28" spans="1:18" x14ac:dyDescent="0.2">
      <c r="K28" s="135"/>
      <c r="L28" s="135"/>
      <c r="M28" s="135"/>
      <c r="N28" s="135"/>
      <c r="O28" s="135"/>
      <c r="P28" s="135"/>
      <c r="Q28" s="135"/>
      <c r="R28" s="131"/>
    </row>
    <row r="29" spans="1:18" ht="12.75" customHeight="1" x14ac:dyDescent="0.2">
      <c r="D29">
        <v>6.6152322366636301E-4</v>
      </c>
      <c r="E29" s="130"/>
      <c r="F29" s="130"/>
      <c r="G29" s="130"/>
      <c r="H29" s="130"/>
      <c r="I29" s="130"/>
      <c r="J29" s="130"/>
      <c r="K29" s="135"/>
      <c r="L29" s="135"/>
      <c r="M29" s="135"/>
      <c r="N29" s="135"/>
      <c r="O29" s="135"/>
      <c r="P29" s="135"/>
      <c r="Q29" s="135"/>
      <c r="R29" s="131"/>
    </row>
    <row r="30" spans="1:18" ht="12.75" customHeight="1" x14ac:dyDescent="0.2">
      <c r="E30" s="130"/>
      <c r="F30" s="130"/>
      <c r="G30" s="130"/>
      <c r="H30" s="130"/>
      <c r="I30" s="130"/>
      <c r="J30" s="130"/>
      <c r="K30" s="135"/>
      <c r="L30" s="135"/>
      <c r="M30" s="135"/>
      <c r="N30" s="135"/>
      <c r="O30" s="135"/>
      <c r="P30" s="135"/>
      <c r="Q30" s="135"/>
      <c r="R30" s="131"/>
    </row>
    <row r="31" spans="1:18" ht="12.75" customHeight="1" x14ac:dyDescent="0.2">
      <c r="E31" s="130"/>
      <c r="F31" s="130"/>
      <c r="G31" s="130"/>
      <c r="H31" s="130"/>
      <c r="I31" s="130"/>
      <c r="J31" s="130"/>
      <c r="K31" s="135"/>
      <c r="L31" s="135"/>
      <c r="M31" s="135"/>
      <c r="N31" s="135"/>
      <c r="O31" s="135"/>
      <c r="P31" s="135"/>
      <c r="Q31" s="135"/>
      <c r="R31" s="131"/>
    </row>
    <row r="32" spans="1:18" ht="12.75" customHeight="1" x14ac:dyDescent="0.2">
      <c r="E32" s="130"/>
      <c r="F32" s="130"/>
      <c r="G32" s="130"/>
      <c r="H32" s="130"/>
      <c r="I32" s="130"/>
      <c r="J32" s="130"/>
      <c r="K32" s="135"/>
      <c r="L32" s="135"/>
      <c r="M32" s="135"/>
      <c r="N32" s="135"/>
      <c r="O32" s="135"/>
      <c r="P32" s="135"/>
      <c r="Q32" s="135"/>
      <c r="R32" s="131"/>
    </row>
    <row r="33" spans="1:18" ht="12.75" customHeight="1" x14ac:dyDescent="0.2">
      <c r="E33" s="130"/>
      <c r="F33" s="130"/>
      <c r="G33" s="130"/>
      <c r="H33" s="130"/>
      <c r="I33" s="130"/>
      <c r="J33" s="130"/>
      <c r="K33" s="131"/>
      <c r="L33" s="131"/>
      <c r="M33" s="131"/>
      <c r="N33" s="131"/>
      <c r="O33" s="131"/>
      <c r="P33" s="131"/>
      <c r="Q33" s="131"/>
      <c r="R33" s="131"/>
    </row>
    <row r="34" spans="1:18" ht="13.5" customHeight="1" x14ac:dyDescent="0.2">
      <c r="E34" s="130"/>
      <c r="F34" s="130"/>
      <c r="G34" s="130"/>
      <c r="H34" s="130"/>
      <c r="I34" s="130"/>
      <c r="J34" s="130"/>
      <c r="K34" s="130"/>
      <c r="L34" s="130"/>
      <c r="M34" s="130"/>
      <c r="N34" s="131"/>
      <c r="O34" s="131"/>
      <c r="P34" s="131"/>
      <c r="Q34" s="131"/>
      <c r="R34" s="131"/>
    </row>
    <row r="35" spans="1:18" ht="12.75" customHeight="1" x14ac:dyDescent="0.2">
      <c r="E35" s="130"/>
      <c r="F35" s="130"/>
      <c r="G35" s="130"/>
      <c r="H35" s="130"/>
      <c r="I35" s="130"/>
      <c r="J35" s="130"/>
      <c r="K35" s="130"/>
      <c r="L35" s="130"/>
      <c r="M35" s="130"/>
    </row>
    <row r="37" spans="1:18" ht="16.5" thickBot="1" x14ac:dyDescent="0.3">
      <c r="A37" s="63" t="s">
        <v>82</v>
      </c>
      <c r="B37" s="64"/>
      <c r="C37" s="64"/>
      <c r="D37" s="64"/>
      <c r="E37" s="64"/>
      <c r="F37" s="64"/>
    </row>
    <row r="38" spans="1:18" ht="50.25" customHeight="1" thickBot="1" x14ac:dyDescent="0.25">
      <c r="A38" s="68" t="s">
        <v>1</v>
      </c>
      <c r="B38" s="69" t="s">
        <v>8</v>
      </c>
      <c r="C38" s="69" t="s">
        <v>60</v>
      </c>
      <c r="D38" s="114" t="s">
        <v>59</v>
      </c>
    </row>
    <row r="39" spans="1:18" x14ac:dyDescent="0.2">
      <c r="A39" s="1">
        <v>1</v>
      </c>
      <c r="B39" s="66">
        <v>0.99999999996066402</v>
      </c>
      <c r="C39" s="70">
        <v>8979.3657737185331</v>
      </c>
      <c r="D39" s="1">
        <v>1.1499999999999999</v>
      </c>
    </row>
    <row r="40" spans="1:18" x14ac:dyDescent="0.2">
      <c r="A40" s="1">
        <v>2</v>
      </c>
      <c r="B40" s="66">
        <v>184.2523627289105</v>
      </c>
      <c r="C40" s="70">
        <v>8796.1134109895829</v>
      </c>
      <c r="D40" s="1">
        <v>1.2</v>
      </c>
    </row>
    <row r="41" spans="1:18" x14ac:dyDescent="0.2">
      <c r="A41" s="1">
        <v>3</v>
      </c>
      <c r="B41" s="66">
        <v>367.50472545786033</v>
      </c>
      <c r="C41" s="70">
        <v>8612.8610482606327</v>
      </c>
      <c r="D41" s="1">
        <v>1.25</v>
      </c>
    </row>
    <row r="42" spans="1:18" x14ac:dyDescent="0.2">
      <c r="A42" s="1">
        <v>4</v>
      </c>
      <c r="B42" s="66">
        <v>550.75708818681017</v>
      </c>
      <c r="C42" s="70">
        <v>8429.6086855316826</v>
      </c>
      <c r="D42" s="1">
        <v>1.4</v>
      </c>
    </row>
    <row r="43" spans="1:18" x14ac:dyDescent="0.2">
      <c r="A43" s="1">
        <v>5</v>
      </c>
      <c r="B43" s="66">
        <v>734.00945091576</v>
      </c>
      <c r="C43" s="70">
        <v>8246.3563228027324</v>
      </c>
      <c r="D43" s="128">
        <v>1.6</v>
      </c>
    </row>
    <row r="44" spans="1:18" x14ac:dyDescent="0.2">
      <c r="A44" s="1">
        <v>6</v>
      </c>
      <c r="B44" s="66">
        <v>917.26181364470983</v>
      </c>
      <c r="C44" s="70">
        <v>8063.1039600737831</v>
      </c>
      <c r="D44" s="128">
        <v>1.85</v>
      </c>
    </row>
    <row r="45" spans="1:18" x14ac:dyDescent="0.2">
      <c r="A45" s="1">
        <v>7</v>
      </c>
      <c r="B45" s="66">
        <v>1100.5141763736597</v>
      </c>
      <c r="C45" s="70">
        <v>7879.8515973448339</v>
      </c>
      <c r="D45" s="128">
        <v>2</v>
      </c>
    </row>
    <row r="46" spans="1:18" x14ac:dyDescent="0.2">
      <c r="A46" s="1">
        <v>8</v>
      </c>
      <c r="B46" s="66">
        <v>1283.7665391026094</v>
      </c>
      <c r="C46" s="70">
        <v>7696.5992346158837</v>
      </c>
      <c r="D46" s="128">
        <v>2</v>
      </c>
    </row>
    <row r="47" spans="1:18" x14ac:dyDescent="0.2">
      <c r="A47" s="1">
        <v>9</v>
      </c>
      <c r="B47" s="66">
        <v>1467.0189018315591</v>
      </c>
      <c r="C47" s="70">
        <v>7513.3468718869335</v>
      </c>
      <c r="D47" s="128">
        <v>2</v>
      </c>
    </row>
    <row r="48" spans="1:18" x14ac:dyDescent="0.2">
      <c r="A48" s="1">
        <v>10</v>
      </c>
      <c r="B48" s="66">
        <v>1650.2712645605088</v>
      </c>
      <c r="C48" s="70">
        <v>7330.0945091579842</v>
      </c>
      <c r="D48" s="128">
        <v>2</v>
      </c>
    </row>
    <row r="49" spans="1:4" x14ac:dyDescent="0.2">
      <c r="A49" s="1">
        <v>11</v>
      </c>
      <c r="B49" s="66">
        <v>1833.5236272894585</v>
      </c>
      <c r="C49" s="70">
        <v>7146.842146429035</v>
      </c>
      <c r="D49" s="128">
        <v>2</v>
      </c>
    </row>
    <row r="50" spans="1:4" x14ac:dyDescent="0.2">
      <c r="A50" s="1">
        <v>12</v>
      </c>
      <c r="B50" s="66">
        <v>2016.7759900184083</v>
      </c>
      <c r="C50" s="70">
        <v>6963.5897837000848</v>
      </c>
      <c r="D50" s="128">
        <v>1.95</v>
      </c>
    </row>
    <row r="51" spans="1:4" x14ac:dyDescent="0.2">
      <c r="A51" s="1">
        <v>13</v>
      </c>
      <c r="B51" s="66">
        <v>2200.028352747358</v>
      </c>
      <c r="C51" s="70">
        <v>6780.3374209711346</v>
      </c>
      <c r="D51" s="128">
        <v>2</v>
      </c>
    </row>
    <row r="52" spans="1:4" x14ac:dyDescent="0.2">
      <c r="A52" s="1">
        <v>14</v>
      </c>
      <c r="B52" s="66">
        <v>2383.2807154763077</v>
      </c>
      <c r="C52" s="70">
        <v>6597.0850582421854</v>
      </c>
      <c r="D52" s="128">
        <v>2</v>
      </c>
    </row>
    <row r="53" spans="1:4" x14ac:dyDescent="0.2">
      <c r="A53" s="1">
        <v>15</v>
      </c>
      <c r="B53" s="66">
        <v>2566.5330782052574</v>
      </c>
      <c r="C53" s="70">
        <v>6413.8326955132361</v>
      </c>
      <c r="D53" s="128">
        <v>2</v>
      </c>
    </row>
    <row r="54" spans="1:4" x14ac:dyDescent="0.2">
      <c r="A54" s="1">
        <v>16</v>
      </c>
      <c r="B54" s="66">
        <v>2749.7854409342071</v>
      </c>
      <c r="C54" s="70">
        <v>6230.5803327842859</v>
      </c>
      <c r="D54" s="128">
        <v>2</v>
      </c>
    </row>
    <row r="55" spans="1:4" x14ac:dyDescent="0.2">
      <c r="A55" s="1">
        <v>17</v>
      </c>
      <c r="B55" s="66">
        <v>2933.0378036631569</v>
      </c>
      <c r="C55" s="70">
        <v>6047.3279700553358</v>
      </c>
      <c r="D55" s="128">
        <v>2</v>
      </c>
    </row>
    <row r="56" spans="1:4" x14ac:dyDescent="0.2">
      <c r="A56" s="1">
        <v>18</v>
      </c>
      <c r="B56" s="66">
        <v>3116.2901663921066</v>
      </c>
      <c r="C56" s="70">
        <v>5864.0756073263865</v>
      </c>
      <c r="D56" s="128">
        <v>2</v>
      </c>
    </row>
    <row r="57" spans="1:4" x14ac:dyDescent="0.2">
      <c r="A57" s="1">
        <v>19</v>
      </c>
      <c r="B57" s="66">
        <v>3299.5425291210563</v>
      </c>
      <c r="C57" s="70">
        <v>5680.8232445974372</v>
      </c>
      <c r="D57" s="128">
        <v>2</v>
      </c>
    </row>
    <row r="58" spans="1:4" x14ac:dyDescent="0.2">
      <c r="A58" s="1">
        <v>20</v>
      </c>
      <c r="B58" s="132">
        <v>3482.794891850006</v>
      </c>
      <c r="C58" s="70">
        <v>5497.570881868487</v>
      </c>
      <c r="D58" s="128">
        <v>2</v>
      </c>
    </row>
    <row r="59" spans="1:4" x14ac:dyDescent="0.2">
      <c r="A59" s="1">
        <v>21</v>
      </c>
      <c r="B59" s="66">
        <v>3666.0472545789557</v>
      </c>
      <c r="C59" s="70">
        <v>5314.3185191395369</v>
      </c>
      <c r="D59" s="128">
        <v>2</v>
      </c>
    </row>
    <row r="60" spans="1:4" x14ac:dyDescent="0.2">
      <c r="A60" s="1">
        <v>22</v>
      </c>
      <c r="B60" s="66">
        <v>3849.2996173079055</v>
      </c>
      <c r="C60" s="70">
        <v>5131.0661564105876</v>
      </c>
      <c r="D60" s="128">
        <v>2</v>
      </c>
    </row>
    <row r="61" spans="1:4" x14ac:dyDescent="0.2">
      <c r="A61" s="1">
        <v>23</v>
      </c>
      <c r="B61" s="66">
        <v>4032.5519800368552</v>
      </c>
      <c r="C61" s="70">
        <v>4947.8137936816383</v>
      </c>
      <c r="D61" s="128">
        <v>2</v>
      </c>
    </row>
    <row r="62" spans="1:4" x14ac:dyDescent="0.2">
      <c r="A62" s="1">
        <v>24</v>
      </c>
      <c r="B62" s="66">
        <v>4215.8043427658049</v>
      </c>
      <c r="C62" s="70">
        <v>4764.5614309526882</v>
      </c>
      <c r="D62" s="128">
        <v>2</v>
      </c>
    </row>
    <row r="63" spans="1:4" x14ac:dyDescent="0.2">
      <c r="A63" s="1">
        <v>25</v>
      </c>
      <c r="B63" s="66">
        <v>4399.0567054947551</v>
      </c>
      <c r="C63" s="70">
        <v>4581.309068223738</v>
      </c>
      <c r="D63" s="128">
        <v>2</v>
      </c>
    </row>
    <row r="64" spans="1:4" x14ac:dyDescent="0.2">
      <c r="A64" s="1">
        <v>26</v>
      </c>
      <c r="B64" s="66">
        <v>4582.3090682237053</v>
      </c>
      <c r="C64" s="70">
        <v>4398.0567054947878</v>
      </c>
      <c r="D64" s="128">
        <v>2</v>
      </c>
    </row>
    <row r="65" spans="1:4" x14ac:dyDescent="0.2">
      <c r="A65" s="1">
        <v>27</v>
      </c>
      <c r="B65" s="66">
        <v>4765.5614309526554</v>
      </c>
      <c r="C65" s="70">
        <v>4214.8043427658376</v>
      </c>
      <c r="D65" s="128">
        <v>2</v>
      </c>
    </row>
    <row r="66" spans="1:4" x14ac:dyDescent="0.2">
      <c r="A66" s="1">
        <v>28</v>
      </c>
      <c r="B66" s="66">
        <v>4948.8137936816056</v>
      </c>
      <c r="C66" s="70">
        <v>4031.5519800368875</v>
      </c>
      <c r="D66" s="128">
        <v>2</v>
      </c>
    </row>
    <row r="67" spans="1:4" x14ac:dyDescent="0.2">
      <c r="A67" s="1">
        <v>29</v>
      </c>
      <c r="B67" s="66">
        <v>5132.0661564105558</v>
      </c>
      <c r="C67" s="70">
        <v>3848.2996173079373</v>
      </c>
      <c r="D67" s="128">
        <v>2</v>
      </c>
    </row>
    <row r="68" spans="1:4" x14ac:dyDescent="0.2">
      <c r="A68" s="1">
        <v>30</v>
      </c>
      <c r="B68" s="66">
        <v>5315.318519139506</v>
      </c>
      <c r="C68" s="70">
        <v>3665.0472545789871</v>
      </c>
      <c r="D68" s="128">
        <v>2</v>
      </c>
    </row>
    <row r="69" spans="1:4" x14ac:dyDescent="0.2">
      <c r="A69" s="1">
        <v>31</v>
      </c>
      <c r="B69" s="66">
        <v>5498.5708818684561</v>
      </c>
      <c r="C69" s="70">
        <v>3481.7948918500369</v>
      </c>
      <c r="D69" s="128">
        <v>2</v>
      </c>
    </row>
    <row r="70" spans="1:4" x14ac:dyDescent="0.2">
      <c r="A70" s="1">
        <v>32</v>
      </c>
      <c r="B70" s="66">
        <v>5681.8232445974063</v>
      </c>
      <c r="C70" s="70">
        <v>3298.5425291210868</v>
      </c>
      <c r="D70" s="128">
        <v>2</v>
      </c>
    </row>
    <row r="71" spans="1:4" x14ac:dyDescent="0.2">
      <c r="A71" s="1">
        <v>33</v>
      </c>
      <c r="B71" s="66">
        <v>5865.0756073263565</v>
      </c>
      <c r="C71" s="70">
        <v>3115.2901663921366</v>
      </c>
      <c r="D71" s="128">
        <v>2</v>
      </c>
    </row>
    <row r="72" spans="1:4" x14ac:dyDescent="0.2">
      <c r="A72" s="1">
        <v>34</v>
      </c>
      <c r="B72" s="66">
        <v>6048.3279700553067</v>
      </c>
      <c r="C72" s="70">
        <v>2932.0378036631864</v>
      </c>
      <c r="D72" s="128">
        <v>2</v>
      </c>
    </row>
    <row r="73" spans="1:4" x14ac:dyDescent="0.2">
      <c r="A73" s="1">
        <v>35</v>
      </c>
      <c r="B73" s="66">
        <v>6231.5803327842568</v>
      </c>
      <c r="C73" s="70">
        <v>2748.7854409342362</v>
      </c>
      <c r="D73" s="128">
        <v>2</v>
      </c>
    </row>
    <row r="74" spans="1:4" x14ac:dyDescent="0.2">
      <c r="A74" s="1">
        <v>36</v>
      </c>
      <c r="B74" s="66">
        <v>6414.832695513207</v>
      </c>
      <c r="C74" s="70">
        <v>2565.5330782052861</v>
      </c>
      <c r="D74" s="128">
        <v>2</v>
      </c>
    </row>
    <row r="75" spans="1:4" x14ac:dyDescent="0.2">
      <c r="A75" s="1">
        <v>37</v>
      </c>
      <c r="B75" s="66">
        <v>6598.0850582421572</v>
      </c>
      <c r="C75" s="70">
        <v>2382.2807154763359</v>
      </c>
      <c r="D75" s="128">
        <v>2</v>
      </c>
    </row>
    <row r="76" spans="1:4" x14ac:dyDescent="0.2">
      <c r="A76" s="1">
        <v>38</v>
      </c>
      <c r="B76" s="66">
        <v>6781.3374209711073</v>
      </c>
      <c r="C76" s="70">
        <v>2199.0283527473857</v>
      </c>
      <c r="D76" s="128">
        <v>2</v>
      </c>
    </row>
    <row r="77" spans="1:4" x14ac:dyDescent="0.2">
      <c r="A77" s="1">
        <v>39</v>
      </c>
      <c r="B77" s="66">
        <v>6964.5897837000575</v>
      </c>
      <c r="C77" s="70">
        <v>2015.7759900184356</v>
      </c>
      <c r="D77" s="128">
        <v>2</v>
      </c>
    </row>
    <row r="78" spans="1:4" x14ac:dyDescent="0.2">
      <c r="A78" s="1">
        <v>40</v>
      </c>
      <c r="B78" s="66">
        <v>7147.8421464290077</v>
      </c>
      <c r="C78" s="70">
        <v>1832.5236272894854</v>
      </c>
      <c r="D78" s="128">
        <v>2</v>
      </c>
    </row>
    <row r="79" spans="1:4" x14ac:dyDescent="0.2">
      <c r="A79" s="1">
        <v>41</v>
      </c>
      <c r="B79" s="66">
        <v>7331.0945091579579</v>
      </c>
      <c r="C79" s="70">
        <v>1649.2712645605352</v>
      </c>
      <c r="D79" s="128">
        <v>2</v>
      </c>
    </row>
    <row r="80" spans="1:4" x14ac:dyDescent="0.2">
      <c r="A80" s="1">
        <v>42</v>
      </c>
      <c r="B80" s="66">
        <v>7514.346871886908</v>
      </c>
      <c r="C80" s="70">
        <v>1466.018901831585</v>
      </c>
      <c r="D80" s="128">
        <v>2</v>
      </c>
    </row>
    <row r="81" spans="1:5" x14ac:dyDescent="0.2">
      <c r="A81" s="1">
        <v>43</v>
      </c>
      <c r="B81" s="66">
        <v>7697.5992346158582</v>
      </c>
      <c r="C81" s="70">
        <v>1282.7665391026349</v>
      </c>
      <c r="D81" s="128">
        <v>2</v>
      </c>
    </row>
    <row r="82" spans="1:5" x14ac:dyDescent="0.2">
      <c r="A82" s="1">
        <v>44</v>
      </c>
      <c r="B82" s="66">
        <v>7880.8515973448084</v>
      </c>
      <c r="C82" s="70">
        <v>1099.5141763736847</v>
      </c>
      <c r="D82" s="128">
        <v>2</v>
      </c>
    </row>
    <row r="83" spans="1:5" x14ac:dyDescent="0.2">
      <c r="A83" s="1">
        <v>45</v>
      </c>
      <c r="B83" s="66">
        <v>8064.1039600737586</v>
      </c>
      <c r="C83" s="70">
        <v>916.2618136447345</v>
      </c>
      <c r="D83" s="128">
        <v>2</v>
      </c>
    </row>
    <row r="84" spans="1:5" x14ac:dyDescent="0.2">
      <c r="A84" s="1">
        <v>46</v>
      </c>
      <c r="B84" s="66">
        <v>8247.3563228027087</v>
      </c>
      <c r="C84" s="70">
        <v>733.00945091578433</v>
      </c>
      <c r="D84" s="128">
        <v>2</v>
      </c>
    </row>
    <row r="85" spans="1:5" x14ac:dyDescent="0.2">
      <c r="A85" s="1">
        <v>47</v>
      </c>
      <c r="B85" s="66">
        <v>8430.6086855316589</v>
      </c>
      <c r="C85" s="70">
        <v>549.75708818683415</v>
      </c>
      <c r="D85" s="128">
        <v>2</v>
      </c>
    </row>
    <row r="86" spans="1:5" x14ac:dyDescent="0.2">
      <c r="A86" s="1">
        <v>48</v>
      </c>
      <c r="B86" s="66">
        <v>8613.8610482606091</v>
      </c>
      <c r="C86" s="70">
        <v>366.50472545788398</v>
      </c>
      <c r="D86" s="128">
        <v>2</v>
      </c>
    </row>
    <row r="87" spans="1:5" x14ac:dyDescent="0.2">
      <c r="A87" s="1">
        <v>49</v>
      </c>
      <c r="B87" s="66">
        <v>8797.1134109895593</v>
      </c>
      <c r="C87" s="70">
        <v>183.2523627289338</v>
      </c>
      <c r="D87" s="128">
        <v>2</v>
      </c>
    </row>
    <row r="88" spans="1:5" x14ac:dyDescent="0.2">
      <c r="A88" s="1">
        <v>50</v>
      </c>
      <c r="B88" s="101">
        <v>8980.3657737185094</v>
      </c>
      <c r="C88" s="133">
        <v>1.6370904631912708E-11</v>
      </c>
      <c r="D88" s="134">
        <v>0</v>
      </c>
      <c r="E88" s="129"/>
    </row>
    <row r="89" spans="1:5" x14ac:dyDescent="0.2">
      <c r="A89" s="1">
        <v>51</v>
      </c>
      <c r="B89" s="66">
        <v>9163.6181364474596</v>
      </c>
      <c r="C89" s="70">
        <v>183.25236272896655</v>
      </c>
      <c r="D89" s="128">
        <v>2</v>
      </c>
    </row>
    <row r="90" spans="1:5" x14ac:dyDescent="0.2">
      <c r="A90" s="1">
        <v>52</v>
      </c>
      <c r="B90" s="66">
        <v>9346.8704991764098</v>
      </c>
      <c r="C90" s="70">
        <v>366.50472545791672</v>
      </c>
      <c r="D90" s="128">
        <v>2</v>
      </c>
    </row>
    <row r="91" spans="1:5" x14ac:dyDescent="0.2">
      <c r="A91" s="1">
        <v>53</v>
      </c>
      <c r="B91" s="66">
        <v>9530.12286190536</v>
      </c>
      <c r="C91" s="70">
        <v>549.75708818686689</v>
      </c>
      <c r="D91" s="128">
        <v>2</v>
      </c>
    </row>
    <row r="92" spans="1:5" x14ac:dyDescent="0.2">
      <c r="A92" s="1">
        <v>54</v>
      </c>
      <c r="B92" s="66">
        <v>9713.3752246343101</v>
      </c>
      <c r="C92" s="70">
        <v>733.00945091581707</v>
      </c>
      <c r="D92" s="128">
        <v>2</v>
      </c>
    </row>
    <row r="93" spans="1:5" x14ac:dyDescent="0.2">
      <c r="A93" s="1">
        <v>55</v>
      </c>
      <c r="B93" s="66">
        <v>9896.6275873632603</v>
      </c>
      <c r="C93" s="70">
        <v>916.26181364476724</v>
      </c>
      <c r="D93" s="128">
        <v>2</v>
      </c>
    </row>
    <row r="94" spans="1:5" x14ac:dyDescent="0.2">
      <c r="A94" s="1">
        <v>56</v>
      </c>
      <c r="B94" s="66">
        <v>10079.87995009221</v>
      </c>
      <c r="C94" s="70">
        <v>1099.5141763737174</v>
      </c>
      <c r="D94" s="128">
        <v>2</v>
      </c>
    </row>
    <row r="95" spans="1:5" x14ac:dyDescent="0.2">
      <c r="A95" s="1">
        <v>57</v>
      </c>
      <c r="B95" s="66">
        <v>10263.132312821161</v>
      </c>
      <c r="C95" s="70">
        <v>1282.7665391026676</v>
      </c>
      <c r="D95" s="128">
        <v>2</v>
      </c>
    </row>
    <row r="96" spans="1:5" x14ac:dyDescent="0.2">
      <c r="A96" s="1">
        <v>58</v>
      </c>
      <c r="B96" s="66">
        <v>10446.384675550111</v>
      </c>
      <c r="C96" s="70">
        <v>1466.0189018316178</v>
      </c>
      <c r="D96" s="128">
        <v>2</v>
      </c>
    </row>
    <row r="97" spans="1:4" x14ac:dyDescent="0.2">
      <c r="A97" s="1">
        <v>59</v>
      </c>
      <c r="B97" s="66">
        <v>10629.637038279061</v>
      </c>
      <c r="C97" s="70">
        <v>1649.2712645605679</v>
      </c>
      <c r="D97" s="128">
        <v>1</v>
      </c>
    </row>
    <row r="98" spans="1:4" x14ac:dyDescent="0.2">
      <c r="A98" s="1">
        <v>60</v>
      </c>
      <c r="B98" s="66">
        <v>10812.889401008011</v>
      </c>
      <c r="C98" s="70">
        <v>1832.5236272895181</v>
      </c>
      <c r="D98" s="128">
        <v>1</v>
      </c>
    </row>
    <row r="121" ht="16.5" customHeight="1" x14ac:dyDescent="0.2"/>
  </sheetData>
  <mergeCells count="3">
    <mergeCell ref="A5:D5"/>
    <mergeCell ref="E5:J5"/>
    <mergeCell ref="K23:Q32"/>
  </mergeCells>
  <phoneticPr fontId="2" type="noConversion"/>
  <conditionalFormatting sqref="H7:I27">
    <cfRule type="expression" dxfId="3" priority="1" stopIfTrue="1">
      <formula>$J$7=$I7</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73" r:id="rId4" name="List Box 25">
              <controlPr defaultSize="0" autoLine="0" autoPict="0">
                <anchor moveWithCells="1">
                  <from>
                    <xdr:col>4</xdr:col>
                    <xdr:colOff>57150</xdr:colOff>
                    <xdr:row>7</xdr:row>
                    <xdr:rowOff>142875</xdr:rowOff>
                  </from>
                  <to>
                    <xdr:col>5</xdr:col>
                    <xdr:colOff>190500</xdr:colOff>
                    <xdr:row>24</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4"/>
  <dimension ref="A1:AC115"/>
  <sheetViews>
    <sheetView topLeftCell="C1" zoomScale="85" zoomScaleNormal="85" workbookViewId="0">
      <selection activeCell="M16" sqref="M16"/>
    </sheetView>
  </sheetViews>
  <sheetFormatPr defaultRowHeight="12.75" x14ac:dyDescent="0.2"/>
  <cols>
    <col min="1" max="1" width="5.85546875" customWidth="1"/>
    <col min="2" max="2" width="9.140625" customWidth="1"/>
    <col min="3" max="3" width="7.28515625" customWidth="1"/>
    <col min="4" max="4" width="8" customWidth="1"/>
    <col min="5" max="5" width="7.28515625" customWidth="1"/>
    <col min="6" max="6" width="11" customWidth="1"/>
    <col min="7" max="7" width="12.5703125" customWidth="1"/>
    <col min="8" max="8" width="12.140625" customWidth="1"/>
    <col min="9" max="9" width="13.5703125" bestFit="1" customWidth="1"/>
    <col min="10" max="10" width="10.85546875" customWidth="1"/>
    <col min="12" max="12" width="11" bestFit="1" customWidth="1"/>
    <col min="13" max="13" width="9.28515625" customWidth="1"/>
    <col min="14" max="14" width="10.28515625" customWidth="1"/>
  </cols>
  <sheetData>
    <row r="1" spans="1:29" ht="18.75" x14ac:dyDescent="0.3">
      <c r="A1" s="2" t="s">
        <v>21</v>
      </c>
      <c r="B1" s="1"/>
      <c r="C1" s="1"/>
      <c r="D1" s="1"/>
      <c r="E1" s="1"/>
      <c r="F1" s="1"/>
      <c r="G1" s="1"/>
      <c r="H1" s="1"/>
      <c r="I1" s="1"/>
      <c r="J1" s="1"/>
      <c r="K1" s="1"/>
      <c r="L1" s="1"/>
      <c r="M1" s="1"/>
      <c r="N1" s="1"/>
    </row>
    <row r="2" spans="1:29" x14ac:dyDescent="0.2">
      <c r="A2" s="1" t="s">
        <v>11</v>
      </c>
      <c r="B2" s="1"/>
      <c r="C2" s="1"/>
      <c r="D2" s="1"/>
      <c r="E2" s="1"/>
      <c r="F2" s="1"/>
      <c r="G2" s="1"/>
      <c r="H2" s="1"/>
      <c r="I2" s="1"/>
      <c r="J2" s="1"/>
      <c r="K2" s="1"/>
      <c r="L2" s="1"/>
      <c r="M2" s="1"/>
      <c r="N2" s="1"/>
    </row>
    <row r="3" spans="1:29" ht="16.5" customHeight="1" x14ac:dyDescent="0.2">
      <c r="A3" s="1" t="s">
        <v>25</v>
      </c>
      <c r="B3" s="1"/>
      <c r="C3" s="1"/>
      <c r="D3" s="1"/>
      <c r="E3" s="1"/>
      <c r="F3" s="1"/>
      <c r="G3" s="1"/>
      <c r="H3" s="1"/>
      <c r="I3" s="1"/>
      <c r="J3" s="1"/>
      <c r="K3" s="1"/>
      <c r="L3" s="1"/>
      <c r="M3" s="1"/>
      <c r="N3" s="1"/>
    </row>
    <row r="4" spans="1:29" ht="38.25" x14ac:dyDescent="0.2">
      <c r="A4" s="1"/>
      <c r="B4" s="1"/>
      <c r="C4" s="1"/>
      <c r="D4" s="1"/>
      <c r="E4" s="1"/>
      <c r="F4" s="1"/>
      <c r="G4" s="1" t="s">
        <v>18</v>
      </c>
      <c r="H4" s="1"/>
      <c r="I4" s="9" t="s">
        <v>27</v>
      </c>
      <c r="J4" s="19" t="s">
        <v>17</v>
      </c>
      <c r="K4" s="12" t="s">
        <v>29</v>
      </c>
      <c r="L4" s="20" t="s">
        <v>40</v>
      </c>
      <c r="M4" s="20" t="s">
        <v>24</v>
      </c>
      <c r="N4" s="1"/>
    </row>
    <row r="5" spans="1:29" ht="18" customHeight="1" x14ac:dyDescent="0.2">
      <c r="A5" s="2" t="s">
        <v>26</v>
      </c>
      <c r="B5" s="1"/>
      <c r="C5" s="1"/>
      <c r="D5" s="1"/>
      <c r="E5" s="1"/>
      <c r="F5" s="1"/>
      <c r="G5" s="1" t="s">
        <v>19</v>
      </c>
      <c r="H5" s="8">
        <v>2</v>
      </c>
      <c r="I5" s="8">
        <f>INDEX(G10:G20,N5)</f>
        <v>1.0000000000000011E-11</v>
      </c>
      <c r="J5" s="8">
        <f>INDEX(sheet5!$H$27:$H$126,O5)</f>
        <v>11545.898851923812</v>
      </c>
      <c r="K5" s="21">
        <f ca="1">2*ABS(N7)/(ABS(B7)+I5)</f>
        <v>0.35864388774023398</v>
      </c>
      <c r="L5" s="126">
        <f ca="1">M5*(B7-2*B7*sheet1!E6+2*sheet1!D6*sheet1!E6)/B7^(2*sheet1!E6+1)</f>
        <v>-5.3249010858359791E-12</v>
      </c>
      <c r="M5" s="33">
        <f>sheet1!B6/(1+sheet1!C6)^(2*sheet1!E6)</f>
        <v>6.0778247591187063E+34</v>
      </c>
      <c r="N5" s="8">
        <v>11</v>
      </c>
      <c r="O5" s="46">
        <v>64</v>
      </c>
    </row>
    <row r="6" spans="1:29" ht="36.75" customHeight="1" x14ac:dyDescent="0.2">
      <c r="A6" s="10" t="s">
        <v>20</v>
      </c>
      <c r="B6" s="10" t="s">
        <v>3</v>
      </c>
      <c r="C6" s="10" t="s">
        <v>4</v>
      </c>
      <c r="D6" s="10" t="s">
        <v>5</v>
      </c>
      <c r="E6" s="11" t="s">
        <v>16</v>
      </c>
      <c r="F6" s="10" t="s">
        <v>15</v>
      </c>
      <c r="G6" s="10" t="s">
        <v>14</v>
      </c>
      <c r="H6" s="11" t="s">
        <v>9</v>
      </c>
      <c r="I6" s="11" t="s">
        <v>7</v>
      </c>
      <c r="J6" s="11" t="s">
        <v>10</v>
      </c>
      <c r="K6" s="10" t="s">
        <v>12</v>
      </c>
      <c r="L6" s="12" t="s">
        <v>22</v>
      </c>
      <c r="M6" s="12" t="s">
        <v>23</v>
      </c>
      <c r="N6" s="12" t="s">
        <v>28</v>
      </c>
    </row>
    <row r="7" spans="1:29" ht="25.5" x14ac:dyDescent="0.2">
      <c r="A7" s="13">
        <f ca="1">IF(H5=1,0,A7+1)</f>
        <v>7400</v>
      </c>
      <c r="B7" s="14">
        <f ca="1">IF(A7=0,IF(J5&lt;=0,I5,J5),IF(ABS(L7)&lt;=I5,B7,IF((B7-(L7/M7))&lt;0,I5,B7-(L7/M7))))</f>
        <v>238506057.79476139</v>
      </c>
      <c r="C7" s="32">
        <f ca="1">IF((B7+B7*sheet1!C6)&lt;=0,I5,sheet1!B6/(B7+B7*sheet1!C6)^(2*sheet1!E6))</f>
        <v>1.1635497071167464E-12</v>
      </c>
      <c r="D7" s="32">
        <f ca="1">C7*(B7-sheet1!D6)</f>
        <v>2.7750507833132298E-4</v>
      </c>
      <c r="E7" s="32">
        <f ca="1">C7*sheet1!D6</f>
        <v>8.5753613414504209E-9</v>
      </c>
      <c r="F7" s="15" t="str">
        <f ca="1">IF(A7=0,"Исходное состояние",IF(ABS(K5)&lt;I5,"Решение найдено","Продолжайте поиск"))</f>
        <v>Продолжайте поиск</v>
      </c>
      <c r="G7" s="16">
        <f ca="1">IF(A7=0,B7,IF(ABS(K5)&lt;I5,G7,B7))</f>
        <v>238506057.79476139</v>
      </c>
      <c r="H7" s="16">
        <f ca="1">IF(A7=0,C7,IF(ABS(K5)&lt;I5,H7,C7))</f>
        <v>1.1635497071167464E-12</v>
      </c>
      <c r="I7" s="16">
        <f ca="1">IF(A7=0,D7,IF(ABS(K5)&lt;I5,I7,D7))</f>
        <v>2.7750507833132298E-4</v>
      </c>
      <c r="J7" s="16">
        <f ca="1">IF(A7=0,E7,IF(ABS(K5)&lt;I5,J7,E7))</f>
        <v>8.5753613414504209E-9</v>
      </c>
      <c r="K7" s="17">
        <f ca="1">IF(A7=0,0,IF(ABS(K5)&lt;I5,K7,A7))</f>
        <v>7400</v>
      </c>
      <c r="L7" s="33">
        <f ca="1">M5*(B7-2*sheet1!E6*B7+2*sheet1!D6*sheet1!E6)/B7^(2*sheet1!E6+1)</f>
        <v>-5.3249010858359791E-12</v>
      </c>
      <c r="M7" s="126">
        <f ca="1">(M5*(1-2*sheet1!E6)*B7^(2*sheet1!E6+1)-M5*(1+2*sheet1!E6)*(B7-2*sheet1!E6*B7+2*sheet1!E6*sheet1!D6)*B7^(2*sheet1!E6))/B7^(4*sheet1!E6+2)</f>
        <v>1.2450267790292717E-19</v>
      </c>
      <c r="N7" s="21">
        <f ca="1">L7/M7</f>
        <v>-42769369.908555083</v>
      </c>
    </row>
    <row r="8" spans="1:29" ht="13.5" thickBot="1" x14ac:dyDescent="0.25"/>
    <row r="9" spans="1:29" ht="26.25" thickBot="1" x14ac:dyDescent="0.25">
      <c r="G9" s="45" t="s">
        <v>13</v>
      </c>
    </row>
    <row r="10" spans="1:29" x14ac:dyDescent="0.2">
      <c r="A10" s="7"/>
      <c r="B10" s="7"/>
      <c r="C10" s="7"/>
      <c r="D10" s="7"/>
      <c r="E10" s="7"/>
      <c r="F10" s="7"/>
      <c r="G10" s="36">
        <v>0.1</v>
      </c>
      <c r="H10" s="7"/>
      <c r="I10" s="7"/>
      <c r="J10" s="7"/>
      <c r="K10" s="7"/>
      <c r="L10" s="7"/>
      <c r="M10" s="7"/>
      <c r="N10" s="7"/>
      <c r="O10" s="7"/>
      <c r="P10" s="7"/>
      <c r="Q10" s="7"/>
      <c r="R10" s="7"/>
      <c r="S10" s="7"/>
      <c r="T10" s="7"/>
      <c r="U10" s="7"/>
      <c r="V10" s="7"/>
      <c r="W10" s="7"/>
      <c r="X10" s="7"/>
      <c r="Y10" s="7"/>
      <c r="Z10" s="7"/>
      <c r="AA10" s="7"/>
      <c r="AB10" s="7"/>
      <c r="AC10" s="7"/>
    </row>
    <row r="11" spans="1:29" x14ac:dyDescent="0.2">
      <c r="A11" s="7"/>
      <c r="B11" s="7"/>
      <c r="C11" s="7"/>
      <c r="D11" s="7"/>
      <c r="E11" s="7"/>
      <c r="F11" s="7"/>
      <c r="G11" s="36">
        <v>0.01</v>
      </c>
      <c r="H11" s="7"/>
      <c r="I11" s="127">
        <f ca="1">G7-sheet1!I6</f>
        <v>238497077.42898768</v>
      </c>
      <c r="K11" s="7"/>
      <c r="L11" s="7"/>
      <c r="M11" s="7">
        <v>8797</v>
      </c>
      <c r="N11" s="7"/>
      <c r="O11" s="7"/>
      <c r="P11" s="7"/>
      <c r="Q11" s="7"/>
      <c r="R11" s="7"/>
      <c r="S11" s="7"/>
      <c r="T11" s="7"/>
      <c r="U11" s="7"/>
      <c r="V11" s="7"/>
      <c r="W11" s="7"/>
      <c r="X11" s="7"/>
      <c r="Y11" s="7"/>
      <c r="Z11" s="7"/>
      <c r="AA11" s="7"/>
      <c r="AB11" s="7"/>
      <c r="AC11" s="7"/>
    </row>
    <row r="12" spans="1:29" x14ac:dyDescent="0.2">
      <c r="A12" s="7"/>
      <c r="B12" s="7"/>
      <c r="C12" s="7"/>
      <c r="D12" s="7"/>
      <c r="E12" s="7"/>
      <c r="F12" s="7"/>
      <c r="G12" s="36">
        <v>1.0000000000000002E-3</v>
      </c>
      <c r="H12" s="7"/>
      <c r="I12" s="7"/>
      <c r="K12" s="7"/>
      <c r="L12" s="7"/>
      <c r="M12" s="7"/>
      <c r="N12" s="18"/>
      <c r="O12" s="7"/>
      <c r="P12" s="7"/>
      <c r="Q12" s="7"/>
      <c r="R12" s="7"/>
      <c r="S12" s="7"/>
      <c r="T12" s="7"/>
      <c r="U12" s="7"/>
      <c r="V12" s="7"/>
      <c r="W12" s="7"/>
      <c r="X12" s="7"/>
      <c r="Y12" s="7"/>
      <c r="Z12" s="7"/>
      <c r="AA12" s="7"/>
      <c r="AB12" s="7"/>
      <c r="AC12" s="7"/>
    </row>
    <row r="13" spans="1:29" x14ac:dyDescent="0.2">
      <c r="A13" s="7"/>
      <c r="B13" s="7"/>
      <c r="C13" s="7"/>
      <c r="D13" s="7"/>
      <c r="E13" s="7"/>
      <c r="F13" s="7"/>
      <c r="G13" s="36">
        <v>1.0000000000000003E-4</v>
      </c>
      <c r="H13" s="7"/>
      <c r="I13" s="7"/>
      <c r="K13" s="7"/>
      <c r="L13" s="7"/>
      <c r="M13" s="7"/>
      <c r="N13" s="18"/>
      <c r="O13" s="7"/>
      <c r="P13" s="7"/>
      <c r="Q13" s="7"/>
      <c r="R13" s="7"/>
      <c r="S13" s="7"/>
      <c r="T13" s="7"/>
      <c r="U13" s="7"/>
      <c r="V13" s="7"/>
      <c r="W13" s="7"/>
      <c r="X13" s="7"/>
      <c r="Y13" s="7"/>
      <c r="Z13" s="7"/>
      <c r="AA13" s="7"/>
      <c r="AB13" s="7"/>
      <c r="AC13" s="7"/>
    </row>
    <row r="14" spans="1:29" x14ac:dyDescent="0.2">
      <c r="A14" s="7"/>
      <c r="B14" s="7"/>
      <c r="C14" s="7"/>
      <c r="D14" s="7"/>
      <c r="E14" s="7"/>
      <c r="F14" s="7"/>
      <c r="G14" s="36">
        <v>1.0000000000000006E-5</v>
      </c>
      <c r="H14" s="7"/>
      <c r="I14" s="7"/>
      <c r="J14" s="7"/>
      <c r="K14" s="7"/>
      <c r="L14" s="7"/>
      <c r="M14" s="7"/>
      <c r="N14" s="18"/>
      <c r="O14" s="7"/>
      <c r="P14" s="7"/>
      <c r="Q14" s="7"/>
      <c r="R14" s="7"/>
      <c r="S14" s="7"/>
      <c r="T14" s="7"/>
      <c r="U14" s="7"/>
      <c r="V14" s="7"/>
      <c r="W14" s="7"/>
      <c r="X14" s="7"/>
      <c r="Y14" s="7"/>
      <c r="Z14" s="7"/>
      <c r="AA14" s="7"/>
      <c r="AB14" s="7"/>
      <c r="AC14" s="7"/>
    </row>
    <row r="15" spans="1:29" x14ac:dyDescent="0.2">
      <c r="A15" s="7"/>
      <c r="B15" s="7"/>
      <c r="C15" s="7"/>
      <c r="D15" s="7"/>
      <c r="E15" s="7"/>
      <c r="F15" s="7"/>
      <c r="G15" s="36">
        <v>1.0000000000000006E-6</v>
      </c>
      <c r="H15" s="7"/>
      <c r="I15" s="7"/>
      <c r="J15" s="7"/>
      <c r="K15" s="7"/>
      <c r="L15" s="7"/>
      <c r="M15" s="7"/>
      <c r="N15" s="18"/>
      <c r="O15" s="7"/>
      <c r="P15" s="7"/>
      <c r="Q15" s="7"/>
      <c r="R15" s="7"/>
      <c r="S15" s="7"/>
      <c r="T15" s="7"/>
      <c r="U15" s="7"/>
      <c r="V15" s="7"/>
      <c r="W15" s="7"/>
      <c r="X15" s="7"/>
      <c r="Y15" s="7"/>
      <c r="Z15" s="7"/>
      <c r="AA15" s="7"/>
      <c r="AB15" s="7"/>
      <c r="AC15" s="7"/>
    </row>
    <row r="16" spans="1:29" x14ac:dyDescent="0.2">
      <c r="A16" s="7"/>
      <c r="B16" s="7"/>
      <c r="C16" s="7"/>
      <c r="D16" s="7"/>
      <c r="E16" s="7"/>
      <c r="F16" s="7"/>
      <c r="G16" s="36">
        <v>1.0000000000000006E-7</v>
      </c>
      <c r="H16" s="7"/>
      <c r="I16" s="7"/>
      <c r="J16" s="7"/>
      <c r="K16" s="7"/>
      <c r="L16" s="7"/>
      <c r="M16" s="7"/>
      <c r="N16" s="18"/>
      <c r="O16" s="7"/>
      <c r="P16" s="7"/>
      <c r="Q16" s="7"/>
      <c r="R16" s="7"/>
      <c r="S16" s="7"/>
      <c r="T16" s="7"/>
      <c r="U16" s="7"/>
      <c r="V16" s="7"/>
      <c r="W16" s="7"/>
      <c r="X16" s="7"/>
      <c r="Y16" s="7"/>
      <c r="Z16" s="7"/>
      <c r="AA16" s="7"/>
      <c r="AB16" s="7"/>
      <c r="AC16" s="7"/>
    </row>
    <row r="17" spans="1:29" x14ac:dyDescent="0.2">
      <c r="A17" s="7"/>
      <c r="B17" s="7"/>
      <c r="C17" s="7"/>
      <c r="D17" s="7"/>
      <c r="E17" s="7"/>
      <c r="F17" s="7"/>
      <c r="G17" s="36">
        <v>1.0000000000000008E-8</v>
      </c>
      <c r="H17" s="7"/>
      <c r="I17" s="7"/>
      <c r="J17" s="7"/>
      <c r="K17" s="7"/>
      <c r="L17" s="7"/>
      <c r="M17" s="7"/>
      <c r="N17" s="18"/>
      <c r="O17" s="7"/>
      <c r="P17" s="7"/>
      <c r="Q17" s="7"/>
      <c r="R17" s="7"/>
      <c r="S17" s="7"/>
      <c r="T17" s="7"/>
      <c r="U17" s="7"/>
      <c r="V17" s="7"/>
      <c r="W17" s="7"/>
      <c r="X17" s="7"/>
      <c r="Y17" s="7"/>
      <c r="Z17" s="7"/>
      <c r="AA17" s="7"/>
      <c r="AB17" s="7"/>
      <c r="AC17" s="7"/>
    </row>
    <row r="18" spans="1:29" x14ac:dyDescent="0.2">
      <c r="A18" s="7"/>
      <c r="B18" s="7"/>
      <c r="C18" s="7"/>
      <c r="D18" s="7"/>
      <c r="E18" s="7"/>
      <c r="F18" s="7"/>
      <c r="G18" s="36">
        <v>1.0000000000000009E-9</v>
      </c>
      <c r="H18" s="7"/>
      <c r="I18" s="7"/>
      <c r="J18" s="7"/>
      <c r="K18" s="7"/>
      <c r="L18" s="7"/>
      <c r="M18" s="7"/>
      <c r="N18" s="18"/>
      <c r="O18" s="7"/>
      <c r="P18" s="7"/>
      <c r="Q18" s="7"/>
      <c r="R18" s="7"/>
      <c r="S18" s="7"/>
      <c r="T18" s="7"/>
      <c r="U18" s="7"/>
      <c r="V18" s="7"/>
      <c r="W18" s="7"/>
      <c r="X18" s="7"/>
      <c r="Y18" s="7"/>
      <c r="Z18" s="7"/>
      <c r="AA18" s="7"/>
      <c r="AB18" s="7"/>
      <c r="AC18" s="7"/>
    </row>
    <row r="19" spans="1:29" ht="10.5" customHeight="1" x14ac:dyDescent="0.2">
      <c r="A19" s="7"/>
      <c r="B19" s="7"/>
      <c r="C19" s="7"/>
      <c r="D19" s="7"/>
      <c r="E19" s="7"/>
      <c r="F19" s="7"/>
      <c r="G19" s="36">
        <v>1.0000000000000009E-10</v>
      </c>
      <c r="H19" s="7"/>
      <c r="I19" s="7"/>
      <c r="J19" s="7"/>
      <c r="K19" s="7"/>
      <c r="L19" s="7"/>
      <c r="M19" s="7"/>
      <c r="N19" s="18"/>
      <c r="O19" s="7"/>
      <c r="P19" s="7"/>
      <c r="Q19" s="7"/>
      <c r="R19" s="7"/>
      <c r="S19" s="7"/>
      <c r="T19" s="7"/>
      <c r="U19" s="7"/>
      <c r="V19" s="7"/>
      <c r="W19" s="7"/>
      <c r="X19" s="7"/>
      <c r="Y19" s="7"/>
      <c r="Z19" s="7"/>
      <c r="AA19" s="7"/>
      <c r="AB19" s="7"/>
      <c r="AC19" s="7"/>
    </row>
    <row r="20" spans="1:29" x14ac:dyDescent="0.2">
      <c r="A20" s="7"/>
      <c r="B20" s="7"/>
      <c r="C20" s="7"/>
      <c r="D20" s="7"/>
      <c r="E20" s="7"/>
      <c r="F20" s="7"/>
      <c r="G20" s="36">
        <v>1.0000000000000011E-11</v>
      </c>
      <c r="H20" s="7"/>
      <c r="I20" s="7"/>
      <c r="J20" s="7"/>
      <c r="K20" s="7"/>
      <c r="L20" s="7"/>
      <c r="M20" s="7"/>
      <c r="N20" s="18"/>
      <c r="O20" s="7"/>
      <c r="P20" s="7"/>
      <c r="Q20" s="7"/>
      <c r="R20" s="7"/>
      <c r="S20" s="7"/>
      <c r="T20" s="7"/>
      <c r="U20" s="7"/>
      <c r="V20" s="7"/>
      <c r="W20" s="7"/>
      <c r="X20" s="7"/>
    </row>
    <row r="21" spans="1:29" ht="14.25" customHeight="1" x14ac:dyDescent="0.2"/>
    <row r="22" spans="1:29" ht="15.75" customHeight="1" x14ac:dyDescent="0.2"/>
    <row r="23" spans="1:29" x14ac:dyDescent="0.2">
      <c r="A23" s="7"/>
      <c r="B23" s="7"/>
      <c r="C23" s="7"/>
      <c r="D23" s="7"/>
      <c r="E23" s="7"/>
      <c r="F23" s="7"/>
      <c r="G23" s="7"/>
      <c r="H23" s="7"/>
      <c r="I23" s="7"/>
      <c r="J23" s="7"/>
      <c r="K23" s="7"/>
      <c r="L23" s="7"/>
      <c r="M23" s="7"/>
      <c r="N23" s="18"/>
      <c r="O23" s="7"/>
      <c r="P23" s="7"/>
      <c r="Q23" s="7"/>
      <c r="R23" s="7"/>
      <c r="S23" s="7"/>
      <c r="T23" s="7"/>
      <c r="U23" s="7"/>
      <c r="V23" s="7"/>
      <c r="W23" s="7"/>
      <c r="X23" s="7"/>
    </row>
    <row r="24" spans="1:29" x14ac:dyDescent="0.2">
      <c r="A24" s="7"/>
      <c r="B24" s="7"/>
      <c r="C24" s="7"/>
      <c r="D24" s="7"/>
      <c r="E24" s="7"/>
      <c r="F24" s="7"/>
      <c r="G24" s="7"/>
      <c r="H24" s="7"/>
      <c r="I24" s="7"/>
      <c r="J24" s="7"/>
      <c r="K24" s="7"/>
      <c r="L24" s="7"/>
      <c r="M24" s="7"/>
      <c r="N24" s="18"/>
      <c r="O24" s="7"/>
      <c r="P24" s="7"/>
      <c r="Q24" s="7"/>
      <c r="R24" s="7"/>
      <c r="S24" s="7"/>
      <c r="T24" s="7"/>
      <c r="U24" s="7"/>
      <c r="V24" s="7"/>
      <c r="W24" s="7"/>
      <c r="X24" s="7"/>
    </row>
    <row r="25" spans="1:29" x14ac:dyDescent="0.2">
      <c r="A25" s="7"/>
      <c r="B25" s="7"/>
      <c r="C25" s="7"/>
      <c r="D25" s="7"/>
      <c r="E25" s="7"/>
      <c r="F25" s="7"/>
      <c r="G25" s="7"/>
      <c r="H25" s="7"/>
      <c r="I25" s="7"/>
      <c r="J25" s="7"/>
      <c r="K25" s="7"/>
      <c r="L25" s="7"/>
      <c r="M25" s="7"/>
      <c r="N25" s="18"/>
      <c r="O25" s="7"/>
      <c r="P25" s="7"/>
      <c r="Q25" s="7"/>
      <c r="R25" s="7"/>
      <c r="S25" s="7"/>
      <c r="T25" s="7"/>
      <c r="U25" s="7"/>
      <c r="V25" s="7"/>
      <c r="W25" s="7"/>
      <c r="X25" s="7"/>
    </row>
    <row r="26" spans="1:29" x14ac:dyDescent="0.2">
      <c r="A26" s="7"/>
      <c r="B26" s="7"/>
      <c r="C26" s="7"/>
      <c r="D26" s="7"/>
      <c r="E26" s="7"/>
      <c r="F26" s="7"/>
      <c r="G26" s="7"/>
      <c r="H26" s="7"/>
      <c r="I26" s="7"/>
      <c r="J26" s="7"/>
      <c r="K26" s="7"/>
      <c r="L26" s="7"/>
      <c r="M26" s="7"/>
      <c r="N26" s="18"/>
      <c r="O26" s="7"/>
      <c r="P26" s="7"/>
      <c r="Q26" s="7"/>
      <c r="R26" s="7"/>
      <c r="S26" s="7"/>
      <c r="T26" s="7"/>
      <c r="U26" s="7"/>
      <c r="V26" s="7"/>
      <c r="W26" s="7"/>
      <c r="X26" s="7"/>
    </row>
    <row r="27" spans="1:29" x14ac:dyDescent="0.2">
      <c r="A27" s="7"/>
      <c r="B27" s="7"/>
      <c r="C27" s="7"/>
      <c r="D27" s="7"/>
      <c r="E27" s="7"/>
      <c r="F27" s="7"/>
      <c r="G27" s="7"/>
      <c r="H27" s="7"/>
      <c r="I27" s="7"/>
      <c r="J27" s="7"/>
      <c r="K27" s="7"/>
      <c r="L27" s="7"/>
      <c r="M27" s="7"/>
      <c r="N27" s="18"/>
      <c r="O27" s="7"/>
      <c r="P27" s="7"/>
      <c r="Q27" s="7"/>
      <c r="R27" s="7"/>
      <c r="S27" s="7"/>
      <c r="T27" s="7"/>
      <c r="U27" s="7"/>
      <c r="V27" s="7"/>
      <c r="W27" s="7"/>
      <c r="X27" s="7"/>
    </row>
    <row r="28" spans="1:29" x14ac:dyDescent="0.2">
      <c r="A28" s="7"/>
      <c r="B28" s="7"/>
      <c r="C28" s="7"/>
      <c r="D28" s="7"/>
      <c r="E28" s="7"/>
      <c r="F28" s="7"/>
      <c r="G28" s="7"/>
      <c r="H28" s="7"/>
      <c r="I28" s="7"/>
      <c r="J28" s="7"/>
      <c r="K28" s="7"/>
      <c r="L28" s="7"/>
      <c r="M28" s="7"/>
      <c r="N28" s="18"/>
      <c r="O28" s="7"/>
      <c r="P28" s="7"/>
      <c r="Q28" s="7"/>
      <c r="R28" s="7"/>
      <c r="S28" s="7"/>
      <c r="T28" s="7"/>
      <c r="U28" s="7"/>
      <c r="V28" s="7"/>
      <c r="W28" s="7"/>
      <c r="X28" s="7"/>
    </row>
    <row r="29" spans="1:29" x14ac:dyDescent="0.2">
      <c r="A29" s="7"/>
      <c r="B29" s="7"/>
      <c r="C29" s="7"/>
      <c r="D29" s="7"/>
      <c r="E29" s="7"/>
      <c r="F29" s="7"/>
      <c r="G29" s="7"/>
      <c r="H29" s="7"/>
      <c r="I29" s="7"/>
      <c r="J29" s="7"/>
      <c r="K29" s="7"/>
      <c r="L29" s="7"/>
      <c r="M29" s="7"/>
      <c r="N29" s="18"/>
      <c r="O29" s="7"/>
      <c r="P29" s="7"/>
      <c r="Q29" s="7"/>
      <c r="R29" s="7"/>
      <c r="S29" s="7"/>
      <c r="T29" s="7"/>
      <c r="U29" s="7"/>
      <c r="V29" s="7"/>
      <c r="W29" s="7"/>
      <c r="X29" s="7"/>
    </row>
    <row r="30" spans="1:29" x14ac:dyDescent="0.2">
      <c r="A30" s="7"/>
      <c r="B30" s="7"/>
      <c r="C30" s="7"/>
      <c r="D30" s="7"/>
      <c r="E30" s="7"/>
      <c r="F30" s="7"/>
      <c r="G30" s="7"/>
      <c r="H30" s="7"/>
      <c r="I30" s="7"/>
      <c r="J30" s="7"/>
      <c r="K30" s="7"/>
      <c r="L30" s="7"/>
      <c r="M30" s="7"/>
      <c r="N30" s="18"/>
      <c r="O30" s="7"/>
      <c r="P30" s="7"/>
      <c r="Q30" s="7"/>
      <c r="R30" s="7"/>
      <c r="S30" s="7"/>
      <c r="T30" s="7"/>
      <c r="U30" s="7"/>
      <c r="V30" s="7"/>
      <c r="W30" s="7"/>
      <c r="X30" s="7"/>
    </row>
    <row r="31" spans="1:29" x14ac:dyDescent="0.2">
      <c r="A31" s="7"/>
      <c r="B31" s="7"/>
      <c r="C31" s="7"/>
      <c r="D31" s="7"/>
      <c r="E31" s="7"/>
      <c r="F31" s="7"/>
      <c r="G31" s="7"/>
      <c r="H31" s="7"/>
      <c r="I31" s="7"/>
      <c r="J31" s="7"/>
      <c r="K31" s="7"/>
      <c r="L31" s="7"/>
      <c r="M31" s="7"/>
      <c r="N31" s="18"/>
      <c r="O31" s="7"/>
      <c r="P31" s="7"/>
      <c r="Q31" s="7"/>
      <c r="R31" s="7"/>
      <c r="S31" s="7"/>
      <c r="T31" s="7"/>
      <c r="U31" s="7"/>
      <c r="V31" s="7"/>
      <c r="W31" s="7"/>
      <c r="X31" s="7"/>
    </row>
    <row r="32" spans="1:29" x14ac:dyDescent="0.2">
      <c r="A32" s="7"/>
      <c r="B32" s="7"/>
      <c r="C32" s="7"/>
      <c r="D32" s="7"/>
      <c r="E32" s="7"/>
      <c r="F32" s="7"/>
      <c r="G32" s="7"/>
      <c r="H32" s="7"/>
      <c r="I32" s="7"/>
      <c r="J32" s="7"/>
      <c r="K32" s="7"/>
      <c r="L32" s="7"/>
      <c r="M32" s="7"/>
      <c r="N32" s="18"/>
      <c r="O32" s="7"/>
      <c r="P32" s="7"/>
      <c r="Q32" s="7"/>
      <c r="R32" s="7"/>
      <c r="S32" s="7"/>
      <c r="T32" s="7"/>
      <c r="U32" s="7"/>
      <c r="V32" s="7"/>
      <c r="W32" s="7"/>
      <c r="X32" s="7"/>
    </row>
    <row r="33" spans="1:24" x14ac:dyDescent="0.2">
      <c r="A33" s="7"/>
      <c r="B33" s="7"/>
      <c r="C33" s="7"/>
      <c r="D33" s="7"/>
      <c r="E33" s="7"/>
      <c r="F33" s="7"/>
      <c r="G33" s="7"/>
      <c r="H33" s="7"/>
      <c r="I33" s="7"/>
      <c r="J33" s="7"/>
      <c r="K33" s="7"/>
      <c r="L33" s="7"/>
      <c r="M33" s="7"/>
      <c r="N33" s="18"/>
      <c r="O33" s="7"/>
      <c r="P33" s="7"/>
      <c r="Q33" s="7"/>
      <c r="R33" s="7"/>
      <c r="S33" s="7"/>
      <c r="T33" s="7"/>
      <c r="U33" s="7"/>
      <c r="V33" s="7"/>
      <c r="W33" s="7"/>
      <c r="X33" s="7"/>
    </row>
    <row r="34" spans="1:24" x14ac:dyDescent="0.2">
      <c r="A34" s="7"/>
      <c r="B34" s="7"/>
      <c r="C34" s="7"/>
      <c r="D34" s="7"/>
      <c r="E34" s="7"/>
      <c r="F34" s="7"/>
      <c r="G34" s="7"/>
      <c r="H34" s="7"/>
      <c r="I34" s="7"/>
      <c r="J34" s="7"/>
      <c r="K34" s="7"/>
      <c r="L34" s="7"/>
      <c r="M34" s="7"/>
      <c r="N34" s="18"/>
      <c r="O34" s="18"/>
      <c r="P34" s="18"/>
      <c r="Q34" s="7"/>
      <c r="R34" s="7"/>
      <c r="S34" s="7"/>
      <c r="T34" s="7"/>
      <c r="U34" s="7"/>
      <c r="V34" s="7"/>
      <c r="W34" s="7"/>
      <c r="X34" s="7"/>
    </row>
    <row r="35" spans="1:24" x14ac:dyDescent="0.2">
      <c r="A35" s="7"/>
      <c r="B35" s="7"/>
      <c r="C35" s="7"/>
      <c r="D35" s="7"/>
      <c r="E35" s="7"/>
      <c r="F35" s="7"/>
      <c r="G35" s="7"/>
      <c r="H35" s="7"/>
      <c r="I35" s="7"/>
      <c r="J35" s="7"/>
      <c r="K35" s="7"/>
      <c r="L35" s="7"/>
      <c r="M35" s="7"/>
      <c r="N35" s="18"/>
      <c r="O35" s="18"/>
      <c r="P35" s="18"/>
      <c r="Q35" s="7"/>
      <c r="R35" s="7"/>
      <c r="S35" s="7"/>
      <c r="T35" s="7"/>
      <c r="U35" s="7"/>
      <c r="V35" s="7"/>
      <c r="W35" s="7"/>
      <c r="X35" s="7"/>
    </row>
    <row r="36" spans="1:24" x14ac:dyDescent="0.2">
      <c r="A36" s="7"/>
      <c r="B36" s="7"/>
      <c r="C36" s="7"/>
      <c r="D36" s="7"/>
      <c r="E36" s="7"/>
      <c r="F36" s="7"/>
      <c r="G36" s="7"/>
      <c r="H36" s="7"/>
      <c r="I36" s="7"/>
      <c r="J36" s="7"/>
      <c r="K36" s="7"/>
      <c r="L36" s="7"/>
      <c r="M36" s="7"/>
      <c r="N36" s="18"/>
      <c r="O36" s="18"/>
      <c r="P36" s="18"/>
      <c r="Q36" s="7"/>
      <c r="R36" s="7"/>
      <c r="S36" s="7"/>
      <c r="T36" s="7"/>
      <c r="U36" s="7"/>
      <c r="V36" s="7"/>
      <c r="W36" s="7"/>
      <c r="X36" s="7"/>
    </row>
    <row r="37" spans="1:24" x14ac:dyDescent="0.2">
      <c r="A37" s="7"/>
      <c r="B37" s="7"/>
      <c r="C37" s="7"/>
      <c r="D37" s="7"/>
      <c r="E37" s="7"/>
      <c r="F37" s="7"/>
      <c r="G37" s="7"/>
      <c r="H37" s="7"/>
      <c r="I37" s="7"/>
      <c r="J37" s="7"/>
      <c r="K37" s="7"/>
      <c r="L37" s="7"/>
      <c r="M37" s="7"/>
      <c r="N37" s="18"/>
      <c r="O37" s="18"/>
      <c r="P37" s="18"/>
      <c r="Q37" s="7"/>
      <c r="R37" s="7"/>
      <c r="S37" s="7"/>
      <c r="T37" s="7"/>
      <c r="U37" s="7"/>
      <c r="V37" s="7"/>
      <c r="W37" s="7"/>
      <c r="X37" s="7"/>
    </row>
    <row r="38" spans="1:24" x14ac:dyDescent="0.2">
      <c r="A38" s="7"/>
      <c r="B38" s="7"/>
      <c r="C38" s="7"/>
      <c r="D38" s="7"/>
      <c r="E38" s="7"/>
      <c r="F38" s="7"/>
      <c r="G38" s="7"/>
      <c r="H38" s="7"/>
      <c r="I38" s="7"/>
      <c r="J38" s="7"/>
      <c r="K38" s="7"/>
      <c r="L38" s="7"/>
      <c r="M38" s="7"/>
      <c r="N38" s="18"/>
      <c r="O38" s="18"/>
      <c r="P38" s="18"/>
      <c r="Q38" s="7"/>
      <c r="R38" s="7"/>
      <c r="S38" s="7"/>
      <c r="T38" s="7"/>
      <c r="U38" s="7"/>
      <c r="V38" s="7"/>
      <c r="W38" s="7"/>
      <c r="X38" s="7"/>
    </row>
    <row r="39" spans="1:24" x14ac:dyDescent="0.2">
      <c r="A39" s="7"/>
      <c r="B39" s="7"/>
      <c r="C39" s="7"/>
      <c r="D39" s="7"/>
      <c r="E39" s="7"/>
      <c r="F39" s="7"/>
      <c r="G39" s="7"/>
      <c r="H39" s="7"/>
      <c r="I39" s="7"/>
      <c r="J39" s="7"/>
      <c r="K39" s="7"/>
      <c r="L39" s="7"/>
      <c r="M39" s="7"/>
      <c r="N39" s="18"/>
      <c r="O39" s="18"/>
      <c r="P39" s="18"/>
      <c r="Q39" s="7"/>
      <c r="R39" s="7"/>
      <c r="S39" s="7"/>
      <c r="T39" s="7"/>
      <c r="U39" s="7"/>
      <c r="V39" s="7"/>
      <c r="W39" s="7"/>
      <c r="X39" s="7"/>
    </row>
    <row r="40" spans="1:24" x14ac:dyDescent="0.2">
      <c r="A40" s="7"/>
      <c r="B40" s="7"/>
      <c r="C40" s="7"/>
      <c r="D40" s="7"/>
      <c r="E40" s="7"/>
      <c r="F40" s="7"/>
      <c r="G40" s="7"/>
      <c r="H40" s="7"/>
      <c r="I40" s="7"/>
      <c r="J40" s="7"/>
      <c r="K40" s="7"/>
      <c r="L40" s="7"/>
      <c r="M40" s="7"/>
      <c r="N40" s="18"/>
      <c r="O40" s="18"/>
      <c r="P40" s="18"/>
      <c r="Q40" s="7"/>
      <c r="R40" s="7"/>
      <c r="S40" s="7"/>
      <c r="T40" s="7"/>
      <c r="U40" s="7"/>
      <c r="V40" s="7"/>
      <c r="W40" s="7"/>
      <c r="X40" s="7"/>
    </row>
    <row r="41" spans="1:24" x14ac:dyDescent="0.2">
      <c r="A41" s="7"/>
      <c r="B41" s="7"/>
      <c r="C41" s="7"/>
      <c r="D41" s="7"/>
      <c r="E41" s="7"/>
      <c r="F41" s="7"/>
      <c r="G41" s="7"/>
      <c r="H41" s="7"/>
      <c r="I41" s="7"/>
      <c r="J41" s="7"/>
      <c r="K41" s="7"/>
      <c r="L41" s="7"/>
      <c r="M41" s="7"/>
      <c r="N41" s="18"/>
      <c r="O41" s="18"/>
      <c r="P41" s="18"/>
      <c r="Q41" s="7"/>
      <c r="R41" s="7"/>
      <c r="S41" s="7"/>
      <c r="T41" s="7"/>
      <c r="U41" s="7"/>
      <c r="V41" s="7"/>
      <c r="W41" s="7"/>
      <c r="X41" s="7"/>
    </row>
    <row r="42" spans="1:24" x14ac:dyDescent="0.2">
      <c r="A42" s="7"/>
      <c r="B42" s="7"/>
      <c r="C42" s="7"/>
      <c r="D42" s="7"/>
      <c r="E42" s="7"/>
      <c r="F42" s="7"/>
      <c r="G42" s="7"/>
      <c r="H42" s="7"/>
      <c r="I42" s="7"/>
      <c r="J42" s="7"/>
      <c r="K42" s="7"/>
      <c r="L42" s="7"/>
      <c r="M42" s="7"/>
      <c r="N42" s="18"/>
      <c r="O42" s="18"/>
      <c r="P42" s="18"/>
      <c r="Q42" s="7"/>
      <c r="R42" s="7"/>
      <c r="S42" s="7"/>
      <c r="T42" s="7"/>
      <c r="U42" s="7"/>
      <c r="V42" s="7"/>
      <c r="W42" s="7"/>
      <c r="X42" s="7"/>
    </row>
    <row r="43" spans="1:24" x14ac:dyDescent="0.2">
      <c r="A43" s="7"/>
      <c r="B43" s="7"/>
      <c r="C43" s="7"/>
      <c r="D43" s="7"/>
      <c r="E43" s="7"/>
      <c r="F43" s="7"/>
      <c r="G43" s="7"/>
      <c r="H43" s="7"/>
      <c r="I43" s="7"/>
      <c r="J43" s="7"/>
      <c r="K43" s="7"/>
      <c r="L43" s="7"/>
      <c r="M43" s="7"/>
      <c r="N43" s="18"/>
      <c r="O43" s="18"/>
      <c r="P43" s="7"/>
      <c r="Q43" s="7"/>
      <c r="R43" s="7"/>
      <c r="S43" s="7"/>
      <c r="T43" s="7"/>
      <c r="U43" s="7"/>
      <c r="V43" s="7"/>
      <c r="W43" s="7"/>
      <c r="X43" s="7"/>
    </row>
    <row r="44" spans="1:24" x14ac:dyDescent="0.2">
      <c r="A44" s="7"/>
      <c r="B44" s="7"/>
      <c r="C44" s="7"/>
      <c r="D44" s="7"/>
      <c r="E44" s="7"/>
      <c r="F44" s="7"/>
      <c r="G44" s="7"/>
      <c r="H44" s="7"/>
      <c r="I44" s="7"/>
      <c r="J44" s="7"/>
      <c r="K44" s="7"/>
      <c r="L44" s="7"/>
      <c r="M44" s="7"/>
      <c r="N44" s="18"/>
      <c r="O44" s="18"/>
      <c r="P44" s="7"/>
      <c r="Q44" s="7"/>
      <c r="R44" s="7"/>
      <c r="S44" s="7"/>
      <c r="T44" s="7"/>
      <c r="U44" s="7"/>
      <c r="V44" s="7"/>
      <c r="W44" s="7"/>
      <c r="X44" s="7"/>
    </row>
    <row r="45" spans="1:24" x14ac:dyDescent="0.2">
      <c r="A45" s="7"/>
      <c r="B45" s="7"/>
      <c r="C45" s="7"/>
      <c r="D45" s="7"/>
      <c r="E45" s="7"/>
      <c r="F45" s="7"/>
      <c r="G45" s="7"/>
      <c r="H45" s="7"/>
      <c r="I45" s="7"/>
      <c r="J45" s="7"/>
      <c r="K45" s="7"/>
      <c r="L45" s="7"/>
      <c r="M45" s="7"/>
      <c r="N45" s="18"/>
      <c r="O45" s="7"/>
      <c r="P45" s="7"/>
      <c r="Q45" s="7"/>
      <c r="R45" s="7"/>
      <c r="S45" s="7"/>
      <c r="T45" s="7"/>
      <c r="U45" s="7"/>
      <c r="V45" s="7"/>
      <c r="W45" s="7"/>
      <c r="X45" s="7"/>
    </row>
    <row r="46" spans="1:24" x14ac:dyDescent="0.2">
      <c r="A46" s="7"/>
      <c r="B46" s="7"/>
      <c r="C46" s="7"/>
      <c r="D46" s="7"/>
      <c r="E46" s="7"/>
      <c r="F46" s="7"/>
      <c r="G46" s="7"/>
      <c r="H46" s="7"/>
      <c r="I46" s="7"/>
      <c r="J46" s="7"/>
      <c r="K46" s="7"/>
      <c r="L46" s="7"/>
      <c r="M46" s="7"/>
      <c r="N46" s="18"/>
      <c r="O46" s="7"/>
      <c r="P46" s="7"/>
      <c r="Q46" s="7"/>
      <c r="R46" s="7"/>
      <c r="S46" s="7"/>
      <c r="T46" s="7"/>
      <c r="U46" s="7"/>
      <c r="V46" s="7"/>
      <c r="W46" s="7"/>
      <c r="X46" s="7"/>
    </row>
    <row r="47" spans="1:24" x14ac:dyDescent="0.2">
      <c r="A47" s="7"/>
      <c r="B47" s="7"/>
      <c r="C47" s="7"/>
      <c r="D47" s="7"/>
      <c r="E47" s="7"/>
      <c r="F47" s="7"/>
      <c r="G47" s="7"/>
      <c r="H47" s="7"/>
      <c r="I47" s="7"/>
      <c r="J47" s="7"/>
      <c r="K47" s="7"/>
      <c r="L47" s="7"/>
      <c r="M47" s="7"/>
      <c r="N47" s="18"/>
      <c r="O47" s="7"/>
      <c r="P47" s="7"/>
      <c r="Q47" s="7"/>
      <c r="R47" s="7"/>
      <c r="S47" s="7"/>
      <c r="T47" s="7"/>
      <c r="U47" s="7"/>
      <c r="V47" s="7"/>
      <c r="W47" s="7"/>
      <c r="X47" s="7"/>
    </row>
    <row r="48" spans="1:24" x14ac:dyDescent="0.2">
      <c r="A48" s="7"/>
      <c r="B48" s="7"/>
      <c r="C48" s="7"/>
      <c r="D48" s="7"/>
      <c r="E48" s="7"/>
      <c r="F48" s="7"/>
      <c r="G48" s="7"/>
      <c r="H48" s="7"/>
      <c r="I48" s="7"/>
      <c r="J48" s="7"/>
      <c r="K48" s="7"/>
      <c r="L48" s="7"/>
      <c r="M48" s="7"/>
      <c r="N48" s="18"/>
      <c r="O48" s="7"/>
      <c r="P48" s="7"/>
      <c r="Q48" s="7"/>
      <c r="R48" s="7"/>
      <c r="S48" s="7"/>
      <c r="T48" s="7"/>
      <c r="U48" s="7"/>
      <c r="V48" s="7"/>
      <c r="W48" s="7"/>
      <c r="X48" s="7"/>
    </row>
    <row r="49" spans="1:24" x14ac:dyDescent="0.2">
      <c r="A49" s="7"/>
      <c r="B49" s="7"/>
      <c r="C49" s="7"/>
      <c r="D49" s="7"/>
      <c r="E49" s="7"/>
      <c r="F49" s="7"/>
      <c r="G49" s="7"/>
      <c r="H49" s="7"/>
      <c r="I49" s="7"/>
      <c r="J49" s="7"/>
      <c r="K49" s="7"/>
      <c r="L49" s="7"/>
      <c r="M49" s="7"/>
      <c r="N49" s="18"/>
      <c r="O49" s="7"/>
      <c r="P49" s="7"/>
      <c r="Q49" s="7"/>
      <c r="R49" s="7"/>
      <c r="S49" s="7"/>
      <c r="T49" s="7"/>
      <c r="U49" s="7"/>
      <c r="V49" s="7"/>
      <c r="W49" s="7"/>
      <c r="X49" s="7"/>
    </row>
    <row r="50" spans="1:24" x14ac:dyDescent="0.2">
      <c r="A50" s="7"/>
      <c r="B50" s="7"/>
      <c r="C50" s="7"/>
      <c r="D50" s="7"/>
      <c r="E50" s="7"/>
      <c r="F50" s="7"/>
      <c r="G50" s="7"/>
      <c r="H50" s="7"/>
      <c r="I50" s="7"/>
      <c r="J50" s="7"/>
      <c r="K50" s="7"/>
      <c r="L50" s="7"/>
      <c r="M50" s="7"/>
      <c r="N50" s="18"/>
      <c r="O50" s="7"/>
      <c r="P50" s="7"/>
      <c r="Q50" s="7"/>
      <c r="R50" s="7"/>
      <c r="S50" s="7"/>
      <c r="T50" s="7"/>
      <c r="U50" s="7"/>
      <c r="V50" s="7"/>
      <c r="W50" s="7"/>
      <c r="X50" s="7"/>
    </row>
    <row r="51" spans="1:24" x14ac:dyDescent="0.2">
      <c r="A51" s="7"/>
      <c r="B51" s="7"/>
      <c r="C51" s="7"/>
      <c r="D51" s="7"/>
      <c r="E51" s="7"/>
      <c r="F51" s="7"/>
      <c r="G51" s="7"/>
      <c r="H51" s="7"/>
      <c r="I51" s="7"/>
      <c r="J51" s="7"/>
      <c r="K51" s="7"/>
      <c r="L51" s="7"/>
      <c r="M51" s="7"/>
      <c r="N51" s="18"/>
      <c r="O51" s="7"/>
      <c r="P51" s="7"/>
      <c r="Q51" s="7"/>
      <c r="R51" s="7"/>
      <c r="S51" s="7"/>
      <c r="T51" s="7"/>
      <c r="U51" s="7"/>
      <c r="V51" s="7"/>
      <c r="W51" s="7"/>
      <c r="X51" s="7"/>
    </row>
    <row r="52" spans="1:24" x14ac:dyDescent="0.2">
      <c r="A52" s="7"/>
      <c r="B52" s="7"/>
      <c r="C52" s="7"/>
      <c r="D52" s="7"/>
      <c r="E52" s="7"/>
      <c r="F52" s="7"/>
      <c r="G52" s="7"/>
      <c r="H52" s="7"/>
      <c r="I52" s="7"/>
      <c r="J52" s="7"/>
      <c r="K52" s="7"/>
      <c r="L52" s="7"/>
      <c r="M52" s="7"/>
      <c r="N52" s="18"/>
      <c r="O52" s="7"/>
      <c r="P52" s="7"/>
      <c r="Q52" s="7"/>
      <c r="R52" s="7"/>
      <c r="S52" s="7"/>
      <c r="T52" s="7"/>
      <c r="U52" s="7"/>
      <c r="V52" s="7"/>
      <c r="W52" s="7"/>
      <c r="X52" s="7"/>
    </row>
    <row r="53" spans="1:24" x14ac:dyDescent="0.2">
      <c r="A53" s="7"/>
      <c r="B53" s="7"/>
      <c r="C53" s="7"/>
      <c r="D53" s="7"/>
      <c r="E53" s="7"/>
      <c r="F53" s="7"/>
      <c r="G53" s="7"/>
      <c r="H53" s="7"/>
      <c r="I53" s="7"/>
      <c r="J53" s="7"/>
      <c r="K53" s="7"/>
      <c r="L53" s="7"/>
      <c r="M53" s="7"/>
      <c r="N53" s="18"/>
      <c r="O53" s="7"/>
      <c r="P53" s="7"/>
      <c r="Q53" s="7"/>
      <c r="R53" s="7"/>
      <c r="S53" s="7"/>
      <c r="T53" s="7"/>
      <c r="U53" s="7"/>
      <c r="V53" s="7"/>
      <c r="W53" s="7"/>
      <c r="X53" s="7"/>
    </row>
    <row r="54" spans="1:24" x14ac:dyDescent="0.2">
      <c r="A54" s="7"/>
      <c r="B54" s="7"/>
      <c r="C54" s="7"/>
      <c r="D54" s="7"/>
      <c r="E54" s="7"/>
      <c r="F54" s="7"/>
      <c r="G54" s="7"/>
      <c r="H54" s="7"/>
      <c r="I54" s="7"/>
      <c r="J54" s="7"/>
      <c r="K54" s="7"/>
      <c r="L54" s="7"/>
      <c r="M54" s="7"/>
      <c r="N54" s="18"/>
      <c r="O54" s="7"/>
      <c r="P54" s="7"/>
      <c r="Q54" s="7"/>
      <c r="R54" s="7"/>
      <c r="S54" s="7"/>
      <c r="T54" s="7"/>
      <c r="U54" s="7"/>
      <c r="V54" s="7"/>
      <c r="W54" s="7"/>
      <c r="X54" s="7"/>
    </row>
    <row r="55" spans="1:24" x14ac:dyDescent="0.2">
      <c r="A55" s="7"/>
      <c r="B55" s="7"/>
      <c r="C55" s="7"/>
      <c r="D55" s="7"/>
      <c r="E55" s="7"/>
      <c r="F55" s="7"/>
      <c r="G55" s="7"/>
      <c r="H55" s="7"/>
      <c r="I55" s="7"/>
      <c r="J55" s="7"/>
      <c r="K55" s="7"/>
      <c r="L55" s="7"/>
      <c r="M55" s="7"/>
      <c r="N55" s="18"/>
      <c r="O55" s="7"/>
      <c r="P55" s="7"/>
      <c r="Q55" s="7"/>
      <c r="R55" s="7"/>
      <c r="S55" s="7"/>
      <c r="T55" s="7"/>
      <c r="U55" s="7"/>
      <c r="V55" s="7"/>
      <c r="W55" s="7"/>
      <c r="X55" s="7"/>
    </row>
    <row r="56" spans="1:24" x14ac:dyDescent="0.2">
      <c r="A56" s="7"/>
      <c r="B56" s="7"/>
      <c r="C56" s="7"/>
      <c r="D56" s="7"/>
      <c r="E56" s="7"/>
      <c r="F56" s="7"/>
      <c r="G56" s="7"/>
      <c r="H56" s="7"/>
      <c r="I56" s="7"/>
      <c r="J56" s="7"/>
      <c r="K56" s="7"/>
      <c r="L56" s="7"/>
      <c r="M56" s="7"/>
      <c r="N56" s="18"/>
      <c r="O56" s="7"/>
      <c r="P56" s="7"/>
      <c r="Q56" s="7"/>
      <c r="R56" s="7"/>
      <c r="S56" s="7"/>
      <c r="T56" s="7"/>
      <c r="U56" s="7"/>
      <c r="V56" s="7"/>
      <c r="W56" s="7"/>
      <c r="X56" s="7"/>
    </row>
    <row r="57" spans="1:24" x14ac:dyDescent="0.2">
      <c r="A57" s="7"/>
      <c r="B57" s="7"/>
      <c r="C57" s="7"/>
      <c r="D57" s="7"/>
      <c r="E57" s="7"/>
      <c r="F57" s="7"/>
      <c r="G57" s="7"/>
      <c r="H57" s="7"/>
      <c r="I57" s="7"/>
      <c r="J57" s="7"/>
      <c r="K57" s="7"/>
      <c r="L57" s="7"/>
      <c r="M57" s="7"/>
      <c r="N57" s="18"/>
      <c r="O57" s="7"/>
      <c r="P57" s="7"/>
      <c r="Q57" s="7"/>
      <c r="R57" s="7"/>
      <c r="S57" s="7"/>
      <c r="T57" s="7"/>
      <c r="U57" s="7"/>
      <c r="V57" s="7"/>
      <c r="W57" s="7"/>
      <c r="X57" s="7"/>
    </row>
    <row r="58" spans="1:24" x14ac:dyDescent="0.2">
      <c r="A58" s="7"/>
      <c r="B58" s="7"/>
      <c r="C58" s="7"/>
      <c r="D58" s="7"/>
      <c r="E58" s="7"/>
      <c r="F58" s="7"/>
      <c r="G58" s="7"/>
      <c r="H58" s="7"/>
      <c r="I58" s="7"/>
      <c r="J58" s="7"/>
      <c r="K58" s="7"/>
      <c r="L58" s="7"/>
      <c r="M58" s="7"/>
      <c r="N58" s="18"/>
      <c r="O58" s="7"/>
      <c r="P58" s="7"/>
      <c r="Q58" s="7"/>
      <c r="R58" s="7"/>
      <c r="S58" s="7"/>
      <c r="T58" s="7"/>
      <c r="U58" s="7"/>
      <c r="V58" s="7"/>
      <c r="W58" s="7"/>
      <c r="X58" s="7"/>
    </row>
    <row r="59" spans="1:24" x14ac:dyDescent="0.2">
      <c r="A59" s="7"/>
      <c r="B59" s="7"/>
      <c r="C59" s="7"/>
      <c r="D59" s="7"/>
      <c r="E59" s="7"/>
      <c r="F59" s="7"/>
      <c r="G59" s="7"/>
      <c r="H59" s="7"/>
      <c r="I59" s="7"/>
      <c r="J59" s="7"/>
      <c r="K59" s="7"/>
      <c r="L59" s="7"/>
      <c r="M59" s="7"/>
      <c r="N59" s="18"/>
      <c r="O59" s="7"/>
      <c r="P59" s="7"/>
      <c r="Q59" s="7"/>
      <c r="R59" s="7"/>
      <c r="S59" s="7"/>
      <c r="T59" s="7"/>
      <c r="U59" s="7"/>
      <c r="V59" s="7"/>
      <c r="W59" s="7"/>
      <c r="X59" s="7"/>
    </row>
    <row r="60" spans="1:24" x14ac:dyDescent="0.2">
      <c r="A60" s="7"/>
      <c r="B60" s="7"/>
      <c r="C60" s="7"/>
      <c r="D60" s="7"/>
      <c r="E60" s="7"/>
      <c r="F60" s="7"/>
      <c r="G60" s="7"/>
      <c r="H60" s="7"/>
      <c r="I60" s="7"/>
      <c r="J60" s="7"/>
      <c r="K60" s="7"/>
      <c r="L60" s="7"/>
      <c r="M60" s="7"/>
      <c r="N60" s="18"/>
      <c r="O60" s="7"/>
      <c r="P60" s="7"/>
      <c r="Q60" s="7"/>
      <c r="R60" s="7"/>
      <c r="S60" s="7"/>
      <c r="T60" s="7"/>
      <c r="U60" s="7"/>
      <c r="V60" s="7"/>
      <c r="W60" s="7"/>
      <c r="X60" s="7"/>
    </row>
    <row r="61" spans="1:24" x14ac:dyDescent="0.2">
      <c r="A61" s="7"/>
      <c r="B61" s="7"/>
      <c r="C61" s="7"/>
      <c r="D61" s="7"/>
      <c r="E61" s="7"/>
      <c r="F61" s="7"/>
      <c r="G61" s="7"/>
      <c r="H61" s="7"/>
      <c r="I61" s="7"/>
      <c r="J61" s="7"/>
      <c r="K61" s="7"/>
      <c r="L61" s="7"/>
      <c r="M61" s="7"/>
      <c r="N61" s="18"/>
      <c r="O61" s="7"/>
      <c r="P61" s="7"/>
      <c r="Q61" s="7"/>
      <c r="R61" s="7"/>
      <c r="S61" s="7"/>
      <c r="T61" s="7"/>
      <c r="U61" s="7"/>
      <c r="V61" s="7"/>
      <c r="W61" s="7"/>
      <c r="X61" s="7"/>
    </row>
    <row r="62" spans="1:24" x14ac:dyDescent="0.2">
      <c r="A62" s="7"/>
      <c r="B62" s="7"/>
      <c r="C62" s="7"/>
      <c r="D62" s="7"/>
      <c r="E62" s="7"/>
      <c r="F62" s="7"/>
      <c r="G62" s="7"/>
      <c r="H62" s="7"/>
      <c r="I62" s="7"/>
      <c r="J62" s="7"/>
      <c r="K62" s="7"/>
      <c r="L62" s="7"/>
      <c r="M62" s="7"/>
      <c r="N62" s="18"/>
      <c r="O62" s="7"/>
      <c r="P62" s="7"/>
      <c r="Q62" s="7"/>
      <c r="R62" s="7"/>
      <c r="S62" s="7"/>
      <c r="T62" s="7"/>
      <c r="U62" s="7"/>
      <c r="V62" s="7"/>
      <c r="W62" s="7"/>
      <c r="X62" s="7"/>
    </row>
    <row r="63" spans="1:24" x14ac:dyDescent="0.2">
      <c r="A63" s="7"/>
      <c r="B63" s="7"/>
      <c r="C63" s="7"/>
      <c r="D63" s="7"/>
      <c r="E63" s="7"/>
      <c r="F63" s="7"/>
      <c r="G63" s="7"/>
      <c r="H63" s="7"/>
      <c r="I63" s="7"/>
      <c r="J63" s="7"/>
      <c r="K63" s="7"/>
      <c r="L63" s="7"/>
      <c r="M63" s="7"/>
      <c r="N63" s="18"/>
      <c r="O63" s="7"/>
      <c r="P63" s="7"/>
      <c r="Q63" s="7"/>
      <c r="R63" s="7"/>
      <c r="S63" s="7"/>
      <c r="T63" s="7"/>
      <c r="U63" s="7"/>
      <c r="V63" s="7"/>
      <c r="W63" s="7"/>
      <c r="X63" s="7"/>
    </row>
    <row r="64" spans="1:24" x14ac:dyDescent="0.2">
      <c r="A64" s="7"/>
      <c r="B64" s="7"/>
      <c r="C64" s="7"/>
      <c r="D64" s="7"/>
      <c r="E64" s="7"/>
      <c r="F64" s="7"/>
      <c r="G64" s="7"/>
      <c r="H64" s="7"/>
      <c r="I64" s="7"/>
      <c r="J64" s="7"/>
      <c r="K64" s="7"/>
      <c r="L64" s="7"/>
      <c r="M64" s="7"/>
      <c r="N64" s="18"/>
      <c r="O64" s="7"/>
      <c r="P64" s="7"/>
      <c r="Q64" s="7"/>
      <c r="R64" s="7"/>
      <c r="S64" s="7"/>
      <c r="T64" s="7"/>
      <c r="U64" s="7"/>
      <c r="V64" s="7"/>
      <c r="W64" s="7"/>
      <c r="X64" s="7"/>
    </row>
    <row r="65" spans="1:24" x14ac:dyDescent="0.2">
      <c r="A65" s="7"/>
      <c r="B65" s="7"/>
      <c r="C65" s="7"/>
      <c r="D65" s="7"/>
      <c r="E65" s="7"/>
      <c r="F65" s="7"/>
      <c r="G65" s="7"/>
      <c r="H65" s="7"/>
      <c r="I65" s="7"/>
      <c r="J65" s="7"/>
      <c r="K65" s="7"/>
      <c r="L65" s="7"/>
      <c r="M65" s="7"/>
      <c r="N65" s="18"/>
      <c r="O65" s="7"/>
      <c r="P65" s="7"/>
      <c r="Q65" s="7"/>
      <c r="R65" s="7"/>
      <c r="S65" s="7"/>
      <c r="T65" s="7"/>
      <c r="U65" s="7"/>
      <c r="V65" s="7"/>
      <c r="W65" s="7"/>
      <c r="X65" s="7"/>
    </row>
    <row r="66" spans="1:24" x14ac:dyDescent="0.2">
      <c r="A66" s="7"/>
      <c r="B66" s="7"/>
      <c r="C66" s="7"/>
      <c r="D66" s="7"/>
      <c r="E66" s="7"/>
      <c r="F66" s="7"/>
      <c r="G66" s="7"/>
      <c r="H66" s="7"/>
      <c r="I66" s="7"/>
      <c r="J66" s="7"/>
      <c r="K66" s="7"/>
      <c r="L66" s="7"/>
      <c r="M66" s="7"/>
      <c r="N66" s="18"/>
      <c r="O66" s="7"/>
      <c r="P66" s="7"/>
      <c r="Q66" s="7"/>
      <c r="R66" s="7"/>
      <c r="S66" s="7"/>
      <c r="T66" s="7"/>
      <c r="U66" s="7"/>
      <c r="V66" s="7"/>
      <c r="W66" s="7"/>
      <c r="X66" s="7"/>
    </row>
    <row r="67" spans="1:24" x14ac:dyDescent="0.2">
      <c r="A67" s="7"/>
      <c r="B67" s="7"/>
      <c r="C67" s="7"/>
      <c r="D67" s="7"/>
      <c r="E67" s="7"/>
      <c r="F67" s="7"/>
      <c r="G67" s="7"/>
      <c r="H67" s="7"/>
      <c r="I67" s="7"/>
      <c r="J67" s="7"/>
      <c r="K67" s="7"/>
      <c r="L67" s="7"/>
      <c r="M67" s="7"/>
      <c r="N67" s="18"/>
      <c r="O67" s="7"/>
      <c r="P67" s="7"/>
      <c r="Q67" s="7"/>
      <c r="R67" s="7"/>
      <c r="S67" s="7"/>
      <c r="T67" s="7"/>
      <c r="U67" s="7"/>
      <c r="V67" s="7"/>
      <c r="W67" s="7"/>
      <c r="X67" s="7"/>
    </row>
    <row r="68" spans="1:24" x14ac:dyDescent="0.2">
      <c r="A68" s="7"/>
      <c r="B68" s="7"/>
      <c r="C68" s="7"/>
      <c r="D68" s="7"/>
      <c r="E68" s="7"/>
      <c r="F68" s="7"/>
      <c r="G68" s="7"/>
      <c r="H68" s="7"/>
      <c r="I68" s="7"/>
      <c r="J68" s="7"/>
      <c r="K68" s="7"/>
      <c r="L68" s="7"/>
      <c r="M68" s="7"/>
      <c r="N68" s="18"/>
      <c r="O68" s="7"/>
      <c r="P68" s="7"/>
      <c r="Q68" s="7"/>
      <c r="R68" s="7"/>
      <c r="S68" s="7"/>
      <c r="T68" s="7"/>
      <c r="U68" s="7"/>
      <c r="V68" s="7"/>
      <c r="W68" s="7"/>
      <c r="X68" s="7"/>
    </row>
    <row r="69" spans="1:24" x14ac:dyDescent="0.2">
      <c r="A69" s="7"/>
      <c r="B69" s="7"/>
      <c r="C69" s="7"/>
      <c r="D69" s="7"/>
      <c r="E69" s="7"/>
      <c r="F69" s="7"/>
      <c r="G69" s="7"/>
      <c r="H69" s="7"/>
      <c r="I69" s="7"/>
      <c r="J69" s="7"/>
      <c r="K69" s="7"/>
      <c r="L69" s="7"/>
      <c r="M69" s="7"/>
      <c r="N69" s="18"/>
      <c r="O69" s="7"/>
      <c r="P69" s="7"/>
      <c r="Q69" s="7"/>
      <c r="R69" s="7"/>
      <c r="S69" s="7"/>
      <c r="T69" s="7"/>
      <c r="U69" s="7"/>
      <c r="V69" s="7"/>
      <c r="W69" s="7"/>
      <c r="X69" s="7"/>
    </row>
    <row r="70" spans="1:24" x14ac:dyDescent="0.2">
      <c r="A70" s="7"/>
      <c r="B70" s="7"/>
      <c r="C70" s="7"/>
      <c r="D70" s="7"/>
      <c r="E70" s="7"/>
      <c r="F70" s="7"/>
      <c r="G70" s="7"/>
      <c r="H70" s="7"/>
      <c r="I70" s="7"/>
      <c r="J70" s="7"/>
      <c r="K70" s="7"/>
      <c r="L70" s="7"/>
      <c r="M70" s="7"/>
      <c r="N70" s="18"/>
      <c r="O70" s="7"/>
      <c r="P70" s="7"/>
      <c r="Q70" s="7"/>
      <c r="R70" s="7"/>
      <c r="S70" s="7"/>
      <c r="T70" s="7"/>
      <c r="U70" s="7"/>
      <c r="V70" s="7"/>
      <c r="W70" s="7"/>
      <c r="X70" s="7"/>
    </row>
    <row r="71" spans="1:24" x14ac:dyDescent="0.2">
      <c r="A71" s="7"/>
      <c r="B71" s="7"/>
      <c r="C71" s="7"/>
      <c r="D71" s="7"/>
      <c r="E71" s="7"/>
      <c r="F71" s="7"/>
      <c r="G71" s="7"/>
      <c r="H71" s="7"/>
      <c r="I71" s="7"/>
      <c r="J71" s="7"/>
      <c r="K71" s="7"/>
      <c r="L71" s="7"/>
      <c r="M71" s="7"/>
      <c r="N71" s="18"/>
      <c r="O71" s="7"/>
      <c r="P71" s="7"/>
      <c r="Q71" s="7"/>
      <c r="R71" s="7"/>
      <c r="S71" s="7"/>
      <c r="T71" s="7"/>
      <c r="U71" s="7"/>
      <c r="V71" s="7"/>
      <c r="W71" s="7"/>
      <c r="X71" s="7"/>
    </row>
    <row r="72" spans="1:24" x14ac:dyDescent="0.2">
      <c r="A72" s="7"/>
      <c r="B72" s="7"/>
      <c r="C72" s="7"/>
      <c r="D72" s="7"/>
      <c r="E72" s="7"/>
      <c r="F72" s="7"/>
      <c r="G72" s="7"/>
      <c r="H72" s="7"/>
      <c r="I72" s="7"/>
      <c r="J72" s="7"/>
      <c r="K72" s="7"/>
      <c r="L72" s="7"/>
      <c r="M72" s="7"/>
      <c r="N72" s="18"/>
      <c r="O72" s="7"/>
      <c r="P72" s="7"/>
      <c r="Q72" s="7"/>
      <c r="R72" s="7"/>
      <c r="S72" s="7"/>
      <c r="T72" s="7"/>
      <c r="U72" s="7"/>
      <c r="V72" s="7"/>
      <c r="W72" s="7"/>
      <c r="X72" s="7"/>
    </row>
    <row r="73" spans="1:24" x14ac:dyDescent="0.2">
      <c r="A73" s="7"/>
      <c r="B73" s="7"/>
      <c r="C73" s="7"/>
      <c r="D73" s="7"/>
      <c r="E73" s="7"/>
      <c r="F73" s="7"/>
      <c r="G73" s="7"/>
      <c r="H73" s="7"/>
      <c r="I73" s="7"/>
      <c r="J73" s="7"/>
      <c r="K73" s="7"/>
      <c r="L73" s="7"/>
      <c r="M73" s="7"/>
      <c r="N73" s="18"/>
      <c r="O73" s="7"/>
      <c r="P73" s="7"/>
      <c r="Q73" s="7"/>
      <c r="R73" s="7"/>
      <c r="S73" s="7"/>
      <c r="T73" s="7"/>
      <c r="U73" s="7"/>
      <c r="V73" s="7"/>
      <c r="W73" s="7"/>
      <c r="X73" s="7"/>
    </row>
    <row r="74" spans="1:24" x14ac:dyDescent="0.2">
      <c r="A74" s="7"/>
      <c r="B74" s="7"/>
      <c r="C74" s="7"/>
      <c r="D74" s="7"/>
      <c r="E74" s="7"/>
      <c r="F74" s="7"/>
      <c r="G74" s="7"/>
      <c r="H74" s="7"/>
      <c r="I74" s="7"/>
      <c r="J74" s="7"/>
      <c r="K74" s="7"/>
      <c r="L74" s="7"/>
      <c r="M74" s="7"/>
      <c r="N74" s="18"/>
      <c r="O74" s="7"/>
      <c r="P74" s="7"/>
      <c r="Q74" s="7"/>
      <c r="R74" s="7"/>
      <c r="S74" s="7"/>
      <c r="T74" s="7"/>
      <c r="U74" s="7"/>
      <c r="V74" s="7"/>
      <c r="W74" s="7"/>
      <c r="X74" s="7"/>
    </row>
    <row r="75" spans="1:24" x14ac:dyDescent="0.2">
      <c r="A75" s="7"/>
      <c r="B75" s="7"/>
      <c r="C75" s="7"/>
      <c r="D75" s="7"/>
      <c r="E75" s="7"/>
      <c r="F75" s="7"/>
      <c r="G75" s="7"/>
      <c r="H75" s="7"/>
      <c r="I75" s="7"/>
      <c r="J75" s="7"/>
      <c r="K75" s="7"/>
      <c r="L75" s="7"/>
      <c r="M75" s="7"/>
      <c r="N75" s="18"/>
      <c r="O75" s="7"/>
      <c r="P75" s="7"/>
      <c r="Q75" s="7"/>
      <c r="R75" s="7"/>
      <c r="S75" s="7"/>
      <c r="T75" s="7"/>
      <c r="U75" s="7"/>
      <c r="V75" s="7"/>
      <c r="W75" s="7"/>
      <c r="X75" s="7"/>
    </row>
    <row r="76" spans="1:24" x14ac:dyDescent="0.2">
      <c r="A76" s="7"/>
      <c r="B76" s="7"/>
      <c r="C76" s="7"/>
      <c r="D76" s="7"/>
      <c r="E76" s="7"/>
      <c r="F76" s="7"/>
      <c r="G76" s="7"/>
      <c r="H76" s="7"/>
      <c r="I76" s="7"/>
      <c r="J76" s="7"/>
      <c r="K76" s="7"/>
      <c r="L76" s="7"/>
      <c r="M76" s="7"/>
      <c r="N76" s="18"/>
      <c r="O76" s="7"/>
      <c r="P76" s="7"/>
      <c r="Q76" s="7"/>
      <c r="R76" s="7"/>
      <c r="S76" s="7"/>
      <c r="T76" s="7"/>
      <c r="U76" s="7"/>
      <c r="V76" s="7"/>
      <c r="W76" s="7"/>
      <c r="X76" s="7"/>
    </row>
    <row r="77" spans="1:24" x14ac:dyDescent="0.2">
      <c r="A77" s="7"/>
      <c r="B77" s="7"/>
      <c r="C77" s="7"/>
      <c r="D77" s="7"/>
      <c r="E77" s="7"/>
      <c r="F77" s="7"/>
      <c r="G77" s="7"/>
      <c r="H77" s="7"/>
      <c r="I77" s="7"/>
      <c r="J77" s="7"/>
      <c r="K77" s="7"/>
      <c r="L77" s="7"/>
      <c r="M77" s="7"/>
      <c r="N77" s="18"/>
      <c r="O77" s="7"/>
      <c r="P77" s="7"/>
      <c r="Q77" s="7"/>
      <c r="R77" s="7"/>
      <c r="S77" s="7"/>
      <c r="T77" s="7"/>
      <c r="U77" s="7"/>
      <c r="V77" s="7"/>
      <c r="W77" s="7"/>
      <c r="X77" s="7"/>
    </row>
    <row r="78" spans="1:24" x14ac:dyDescent="0.2">
      <c r="A78" s="7"/>
      <c r="B78" s="7"/>
      <c r="C78" s="7"/>
      <c r="D78" s="7"/>
      <c r="E78" s="7"/>
      <c r="F78" s="7"/>
      <c r="G78" s="7"/>
      <c r="H78" s="7"/>
      <c r="I78" s="7"/>
      <c r="J78" s="7"/>
      <c r="K78" s="7"/>
      <c r="L78" s="7"/>
      <c r="M78" s="7"/>
      <c r="N78" s="18"/>
      <c r="O78" s="7"/>
      <c r="P78" s="7"/>
      <c r="Q78" s="7"/>
      <c r="R78" s="7"/>
      <c r="S78" s="7"/>
      <c r="T78" s="7"/>
      <c r="U78" s="7"/>
      <c r="V78" s="7"/>
      <c r="W78" s="7"/>
      <c r="X78" s="7"/>
    </row>
    <row r="79" spans="1:24" x14ac:dyDescent="0.2">
      <c r="A79" s="7"/>
      <c r="B79" s="7"/>
      <c r="C79" s="7"/>
      <c r="D79" s="7"/>
      <c r="E79" s="7"/>
      <c r="F79" s="7"/>
      <c r="G79" s="7"/>
      <c r="H79" s="7"/>
      <c r="I79" s="7"/>
      <c r="J79" s="7"/>
      <c r="K79" s="7"/>
      <c r="L79" s="7"/>
      <c r="M79" s="7"/>
      <c r="N79" s="18"/>
      <c r="O79" s="7"/>
      <c r="P79" s="7"/>
      <c r="Q79" s="7"/>
      <c r="R79" s="7"/>
      <c r="S79" s="7"/>
      <c r="T79" s="7"/>
      <c r="U79" s="7"/>
      <c r="V79" s="7"/>
      <c r="W79" s="7"/>
      <c r="X79" s="7"/>
    </row>
    <row r="80" spans="1:24" x14ac:dyDescent="0.2">
      <c r="A80" s="7"/>
      <c r="B80" s="7"/>
      <c r="C80" s="7"/>
      <c r="D80" s="7"/>
      <c r="E80" s="7"/>
      <c r="F80" s="7"/>
      <c r="G80" s="7"/>
      <c r="H80" s="7"/>
      <c r="I80" s="7"/>
      <c r="J80" s="7"/>
      <c r="K80" s="7"/>
      <c r="L80" s="7"/>
      <c r="M80" s="7"/>
      <c r="N80" s="18"/>
      <c r="O80" s="7"/>
      <c r="P80" s="7"/>
      <c r="Q80" s="7"/>
      <c r="R80" s="7"/>
      <c r="S80" s="7"/>
      <c r="T80" s="7"/>
      <c r="U80" s="7"/>
      <c r="V80" s="7"/>
      <c r="W80" s="7"/>
      <c r="X80" s="7"/>
    </row>
    <row r="81" spans="1:24" x14ac:dyDescent="0.2">
      <c r="A81" s="7"/>
      <c r="B81" s="7"/>
      <c r="C81" s="7"/>
      <c r="D81" s="7"/>
      <c r="E81" s="7"/>
      <c r="F81" s="7"/>
      <c r="G81" s="7"/>
      <c r="H81" s="7"/>
      <c r="I81" s="7"/>
      <c r="J81" s="7"/>
      <c r="K81" s="7"/>
      <c r="L81" s="7"/>
      <c r="M81" s="7"/>
      <c r="N81" s="18"/>
      <c r="O81" s="7"/>
      <c r="P81" s="7"/>
      <c r="Q81" s="7"/>
      <c r="R81" s="7"/>
      <c r="S81" s="7"/>
      <c r="T81" s="7"/>
      <c r="U81" s="7"/>
      <c r="V81" s="7"/>
      <c r="W81" s="7"/>
      <c r="X81" s="7"/>
    </row>
    <row r="82" spans="1:24" x14ac:dyDescent="0.2">
      <c r="A82" s="7"/>
      <c r="B82" s="7"/>
      <c r="C82" s="7"/>
      <c r="D82" s="7"/>
      <c r="E82" s="7"/>
      <c r="F82" s="7"/>
      <c r="G82" s="7"/>
      <c r="H82" s="7"/>
      <c r="I82" s="7"/>
      <c r="J82" s="7"/>
      <c r="K82" s="7"/>
      <c r="L82" s="7"/>
      <c r="M82" s="7"/>
      <c r="N82" s="18"/>
      <c r="O82" s="7"/>
      <c r="P82" s="7"/>
      <c r="Q82" s="7"/>
      <c r="R82" s="7"/>
      <c r="S82" s="7"/>
      <c r="T82" s="7"/>
      <c r="U82" s="7"/>
      <c r="V82" s="7"/>
      <c r="W82" s="7"/>
      <c r="X82" s="7"/>
    </row>
    <row r="83" spans="1:24" x14ac:dyDescent="0.2">
      <c r="A83" s="7"/>
      <c r="B83" s="7"/>
      <c r="C83" s="7"/>
      <c r="D83" s="7"/>
      <c r="E83" s="7"/>
      <c r="F83" s="7"/>
      <c r="G83" s="7"/>
      <c r="H83" s="7"/>
      <c r="I83" s="7"/>
      <c r="J83" s="7"/>
      <c r="K83" s="7"/>
      <c r="L83" s="7"/>
      <c r="M83" s="7"/>
      <c r="N83" s="18"/>
      <c r="O83" s="7"/>
      <c r="P83" s="7"/>
      <c r="Q83" s="7"/>
      <c r="R83" s="7"/>
      <c r="S83" s="7"/>
      <c r="T83" s="7"/>
      <c r="U83" s="7"/>
      <c r="V83" s="7"/>
      <c r="W83" s="7"/>
      <c r="X83" s="7"/>
    </row>
    <row r="84" spans="1:24" x14ac:dyDescent="0.2">
      <c r="A84" s="7"/>
      <c r="B84" s="7"/>
      <c r="C84" s="7"/>
      <c r="D84" s="7"/>
      <c r="E84" s="7"/>
      <c r="F84" s="7"/>
      <c r="G84" s="7"/>
      <c r="H84" s="7"/>
      <c r="I84" s="7"/>
      <c r="J84" s="7"/>
      <c r="K84" s="7"/>
      <c r="L84" s="7"/>
      <c r="M84" s="7"/>
      <c r="N84" s="18"/>
      <c r="O84" s="7"/>
      <c r="P84" s="7"/>
      <c r="Q84" s="7"/>
      <c r="R84" s="7"/>
      <c r="S84" s="7"/>
      <c r="T84" s="7"/>
      <c r="U84" s="7"/>
      <c r="V84" s="7"/>
      <c r="W84" s="7"/>
      <c r="X84" s="7"/>
    </row>
    <row r="85" spans="1:24" x14ac:dyDescent="0.2">
      <c r="A85" s="7"/>
      <c r="B85" s="7"/>
      <c r="C85" s="7"/>
      <c r="D85" s="7"/>
      <c r="E85" s="7"/>
      <c r="F85" s="7"/>
      <c r="G85" s="7"/>
      <c r="H85" s="7"/>
      <c r="I85" s="7"/>
      <c r="J85" s="7"/>
      <c r="K85" s="7"/>
      <c r="L85" s="7"/>
      <c r="M85" s="7"/>
      <c r="N85" s="18"/>
      <c r="O85" s="7"/>
      <c r="P85" s="7"/>
      <c r="Q85" s="7"/>
      <c r="R85" s="7"/>
      <c r="S85" s="7"/>
      <c r="T85" s="7"/>
      <c r="U85" s="7"/>
      <c r="V85" s="7"/>
      <c r="W85" s="7"/>
      <c r="X85" s="7"/>
    </row>
    <row r="86" spans="1:24" x14ac:dyDescent="0.2">
      <c r="A86" s="7"/>
      <c r="B86" s="7"/>
      <c r="C86" s="7"/>
      <c r="D86" s="7"/>
      <c r="E86" s="7"/>
      <c r="F86" s="7"/>
      <c r="G86" s="7"/>
      <c r="H86" s="7"/>
      <c r="I86" s="7"/>
      <c r="J86" s="7"/>
      <c r="K86" s="7"/>
      <c r="L86" s="7"/>
      <c r="M86" s="7"/>
      <c r="N86" s="18"/>
      <c r="O86" s="7"/>
      <c r="P86" s="7"/>
      <c r="Q86" s="7"/>
      <c r="R86" s="7"/>
      <c r="S86" s="7"/>
      <c r="T86" s="7"/>
      <c r="U86" s="7"/>
      <c r="V86" s="7"/>
      <c r="W86" s="7"/>
      <c r="X86" s="7"/>
    </row>
    <row r="87" spans="1:24" x14ac:dyDescent="0.2">
      <c r="A87" s="7"/>
      <c r="B87" s="7"/>
      <c r="C87" s="7"/>
      <c r="D87" s="7"/>
      <c r="E87" s="7"/>
      <c r="F87" s="7"/>
      <c r="G87" s="7"/>
      <c r="H87" s="7"/>
      <c r="I87" s="7"/>
      <c r="J87" s="7"/>
      <c r="K87" s="7"/>
      <c r="L87" s="7"/>
      <c r="M87" s="7"/>
      <c r="N87" s="18"/>
      <c r="O87" s="7"/>
      <c r="P87" s="7"/>
      <c r="Q87" s="7"/>
      <c r="R87" s="7"/>
      <c r="S87" s="7"/>
      <c r="T87" s="7"/>
      <c r="U87" s="7"/>
      <c r="V87" s="7"/>
      <c r="W87" s="7"/>
      <c r="X87" s="7"/>
    </row>
    <row r="88" spans="1:24" x14ac:dyDescent="0.2">
      <c r="A88" s="7"/>
      <c r="B88" s="7"/>
      <c r="C88" s="7"/>
      <c r="D88" s="7"/>
      <c r="E88" s="7"/>
      <c r="F88" s="7"/>
      <c r="G88" s="7"/>
      <c r="H88" s="7"/>
      <c r="I88" s="7"/>
      <c r="J88" s="7"/>
      <c r="K88" s="7"/>
      <c r="L88" s="7"/>
      <c r="M88" s="7"/>
      <c r="N88" s="18"/>
      <c r="O88" s="7"/>
      <c r="P88" s="7"/>
      <c r="Q88" s="7"/>
      <c r="R88" s="7"/>
      <c r="S88" s="7"/>
      <c r="T88" s="7"/>
      <c r="U88" s="7"/>
      <c r="V88" s="7"/>
      <c r="W88" s="7"/>
      <c r="X88" s="7"/>
    </row>
    <row r="89" spans="1:24" x14ac:dyDescent="0.2">
      <c r="A89" s="7"/>
      <c r="B89" s="7"/>
      <c r="C89" s="7"/>
      <c r="D89" s="7"/>
      <c r="E89" s="7"/>
      <c r="F89" s="7"/>
      <c r="G89" s="7"/>
      <c r="H89" s="7"/>
      <c r="I89" s="7"/>
      <c r="J89" s="7"/>
      <c r="K89" s="7"/>
      <c r="L89" s="7"/>
      <c r="M89" s="7"/>
      <c r="N89" s="18"/>
      <c r="O89" s="7"/>
      <c r="P89" s="7"/>
      <c r="Q89" s="7"/>
      <c r="R89" s="7"/>
      <c r="S89" s="7"/>
      <c r="T89" s="7"/>
      <c r="U89" s="7"/>
      <c r="V89" s="7"/>
      <c r="W89" s="7"/>
      <c r="X89" s="7"/>
    </row>
    <row r="90" spans="1:24" x14ac:dyDescent="0.2">
      <c r="A90" s="7"/>
      <c r="B90" s="7"/>
      <c r="C90" s="7"/>
      <c r="D90" s="7"/>
      <c r="E90" s="7"/>
      <c r="F90" s="7"/>
      <c r="G90" s="7"/>
      <c r="H90" s="7"/>
      <c r="I90" s="7"/>
      <c r="J90" s="7"/>
      <c r="K90" s="7"/>
      <c r="L90" s="7"/>
      <c r="M90" s="7"/>
      <c r="N90" s="18"/>
      <c r="O90" s="7"/>
      <c r="P90" s="7"/>
      <c r="Q90" s="7"/>
      <c r="R90" s="7"/>
      <c r="S90" s="7"/>
      <c r="T90" s="7"/>
      <c r="U90" s="7"/>
      <c r="V90" s="7"/>
      <c r="W90" s="7"/>
      <c r="X90" s="7"/>
    </row>
    <row r="91" spans="1:24" x14ac:dyDescent="0.2">
      <c r="A91" s="7"/>
      <c r="B91" s="7"/>
      <c r="C91" s="7"/>
      <c r="D91" s="7"/>
      <c r="E91" s="7"/>
      <c r="F91" s="7"/>
      <c r="G91" s="7"/>
      <c r="H91" s="7"/>
      <c r="I91" s="7"/>
      <c r="J91" s="7"/>
      <c r="K91" s="7"/>
      <c r="L91" s="7"/>
      <c r="M91" s="7"/>
      <c r="N91" s="18"/>
      <c r="O91" s="7"/>
      <c r="P91" s="7"/>
      <c r="Q91" s="7"/>
      <c r="R91" s="7"/>
      <c r="S91" s="7"/>
      <c r="T91" s="7"/>
      <c r="U91" s="7"/>
      <c r="V91" s="7"/>
      <c r="W91" s="7"/>
      <c r="X91" s="7"/>
    </row>
    <row r="92" spans="1:24" x14ac:dyDescent="0.2">
      <c r="A92" s="7"/>
      <c r="B92" s="7"/>
      <c r="C92" s="7"/>
      <c r="D92" s="7"/>
      <c r="E92" s="7"/>
      <c r="F92" s="7"/>
      <c r="G92" s="7"/>
      <c r="H92" s="7"/>
      <c r="I92" s="7"/>
      <c r="J92" s="7"/>
      <c r="K92" s="7"/>
      <c r="L92" s="7"/>
      <c r="M92" s="7"/>
      <c r="N92" s="18"/>
      <c r="O92" s="7"/>
      <c r="P92" s="7"/>
      <c r="Q92" s="7"/>
      <c r="R92" s="7"/>
      <c r="S92" s="7"/>
      <c r="T92" s="7"/>
      <c r="U92" s="7"/>
      <c r="V92" s="7"/>
      <c r="W92" s="7"/>
      <c r="X92" s="7"/>
    </row>
    <row r="93" spans="1:24" x14ac:dyDescent="0.2">
      <c r="A93" s="7"/>
      <c r="B93" s="7"/>
      <c r="C93" s="7"/>
      <c r="D93" s="7"/>
      <c r="E93" s="7"/>
      <c r="F93" s="7"/>
      <c r="G93" s="7"/>
      <c r="H93" s="7"/>
      <c r="I93" s="7"/>
      <c r="J93" s="7"/>
      <c r="K93" s="7"/>
      <c r="L93" s="7"/>
      <c r="M93" s="7"/>
      <c r="N93" s="18"/>
      <c r="O93" s="7"/>
      <c r="P93" s="7"/>
      <c r="Q93" s="7"/>
      <c r="R93" s="7"/>
      <c r="S93" s="7"/>
      <c r="T93" s="7"/>
      <c r="U93" s="7"/>
      <c r="V93" s="7"/>
      <c r="W93" s="7"/>
      <c r="X93" s="7"/>
    </row>
    <row r="94" spans="1:24" x14ac:dyDescent="0.2">
      <c r="A94" s="7"/>
      <c r="B94" s="7"/>
      <c r="C94" s="7"/>
      <c r="D94" s="7"/>
      <c r="E94" s="7"/>
      <c r="F94" s="7"/>
      <c r="G94" s="7"/>
      <c r="H94" s="7"/>
      <c r="I94" s="7"/>
      <c r="J94" s="7"/>
      <c r="K94" s="7"/>
      <c r="L94" s="7"/>
      <c r="M94" s="7"/>
      <c r="N94" s="18"/>
      <c r="O94" s="7"/>
      <c r="P94" s="7"/>
      <c r="Q94" s="7"/>
      <c r="R94" s="7"/>
      <c r="S94" s="7"/>
      <c r="T94" s="7"/>
      <c r="U94" s="7"/>
      <c r="V94" s="7"/>
      <c r="W94" s="7"/>
      <c r="X94" s="7"/>
    </row>
    <row r="95" spans="1:24" x14ac:dyDescent="0.2">
      <c r="A95" s="7"/>
      <c r="B95" s="7"/>
      <c r="C95" s="7"/>
      <c r="D95" s="7"/>
      <c r="E95" s="7"/>
      <c r="F95" s="7"/>
      <c r="G95" s="7"/>
      <c r="H95" s="7"/>
      <c r="I95" s="7"/>
      <c r="J95" s="7"/>
      <c r="K95" s="7"/>
      <c r="L95" s="7"/>
      <c r="M95" s="7"/>
      <c r="N95" s="18"/>
      <c r="O95" s="7"/>
      <c r="P95" s="7"/>
      <c r="Q95" s="7"/>
      <c r="R95" s="7"/>
      <c r="S95" s="7"/>
      <c r="T95" s="7"/>
      <c r="U95" s="7"/>
      <c r="V95" s="7"/>
      <c r="W95" s="7"/>
      <c r="X95" s="7"/>
    </row>
    <row r="96" spans="1:24" x14ac:dyDescent="0.2">
      <c r="A96" s="7"/>
      <c r="B96" s="7"/>
      <c r="C96" s="7"/>
      <c r="D96" s="7"/>
      <c r="E96" s="7"/>
      <c r="F96" s="7"/>
      <c r="G96" s="7"/>
      <c r="H96" s="7"/>
      <c r="I96" s="7"/>
      <c r="J96" s="7"/>
      <c r="K96" s="7"/>
      <c r="L96" s="7"/>
      <c r="M96" s="7"/>
      <c r="N96" s="18"/>
      <c r="O96" s="7"/>
      <c r="P96" s="7"/>
      <c r="Q96" s="7"/>
      <c r="R96" s="7"/>
      <c r="S96" s="7"/>
      <c r="T96" s="7"/>
      <c r="U96" s="7"/>
      <c r="V96" s="7"/>
      <c r="W96" s="7"/>
      <c r="X96" s="7"/>
    </row>
    <row r="97" spans="1:24" x14ac:dyDescent="0.2">
      <c r="A97" s="7"/>
      <c r="B97" s="7"/>
      <c r="C97" s="7"/>
      <c r="D97" s="7"/>
      <c r="E97" s="7"/>
      <c r="F97" s="7"/>
      <c r="G97" s="7"/>
      <c r="H97" s="7"/>
      <c r="I97" s="7"/>
      <c r="J97" s="7"/>
      <c r="K97" s="7"/>
      <c r="L97" s="7"/>
      <c r="M97" s="7"/>
      <c r="N97" s="18"/>
      <c r="O97" s="7"/>
      <c r="P97" s="7"/>
      <c r="Q97" s="7"/>
      <c r="R97" s="7"/>
      <c r="S97" s="7"/>
      <c r="T97" s="7"/>
      <c r="U97" s="7"/>
      <c r="V97" s="7"/>
      <c r="W97" s="7"/>
      <c r="X97" s="7"/>
    </row>
    <row r="98" spans="1:24" x14ac:dyDescent="0.2">
      <c r="A98" s="7"/>
      <c r="B98" s="7"/>
      <c r="C98" s="7"/>
      <c r="D98" s="7"/>
      <c r="E98" s="7"/>
      <c r="F98" s="7"/>
      <c r="G98" s="7"/>
      <c r="H98" s="7"/>
      <c r="I98" s="7"/>
      <c r="J98" s="7"/>
      <c r="K98" s="7"/>
      <c r="L98" s="7"/>
      <c r="M98" s="7"/>
      <c r="N98" s="18"/>
      <c r="O98" s="7"/>
      <c r="P98" s="7"/>
      <c r="Q98" s="7"/>
      <c r="R98" s="7"/>
      <c r="S98" s="7"/>
      <c r="T98" s="7"/>
      <c r="U98" s="7"/>
      <c r="V98" s="7"/>
      <c r="W98" s="7"/>
      <c r="X98" s="7"/>
    </row>
    <row r="99" spans="1:24" x14ac:dyDescent="0.2">
      <c r="A99" s="7"/>
      <c r="B99" s="7"/>
      <c r="C99" s="7"/>
      <c r="D99" s="7"/>
      <c r="E99" s="7"/>
      <c r="F99" s="7"/>
      <c r="G99" s="7"/>
      <c r="H99" s="7"/>
      <c r="I99" s="7"/>
      <c r="J99" s="7"/>
      <c r="K99" s="7"/>
      <c r="L99" s="7"/>
      <c r="M99" s="7"/>
      <c r="N99" s="18"/>
      <c r="O99" s="7"/>
      <c r="P99" s="7"/>
      <c r="Q99" s="7"/>
      <c r="R99" s="7"/>
      <c r="S99" s="7"/>
      <c r="T99" s="7"/>
      <c r="U99" s="7"/>
      <c r="V99" s="7"/>
      <c r="W99" s="7"/>
      <c r="X99" s="7"/>
    </row>
    <row r="100" spans="1:24" x14ac:dyDescent="0.2">
      <c r="A100" s="7"/>
      <c r="B100" s="7"/>
      <c r="C100" s="7"/>
      <c r="D100" s="7"/>
      <c r="E100" s="7"/>
      <c r="F100" s="7"/>
      <c r="G100" s="7"/>
      <c r="H100" s="7"/>
      <c r="I100" s="7"/>
      <c r="J100" s="7"/>
      <c r="K100" s="7"/>
      <c r="L100" s="7"/>
      <c r="M100" s="7"/>
      <c r="N100" s="18"/>
      <c r="O100" s="7"/>
      <c r="P100" s="7"/>
      <c r="Q100" s="7"/>
      <c r="R100" s="7"/>
      <c r="S100" s="7"/>
      <c r="T100" s="7"/>
      <c r="U100" s="7"/>
      <c r="V100" s="7"/>
      <c r="W100" s="7"/>
      <c r="X100" s="7"/>
    </row>
    <row r="101" spans="1:24" x14ac:dyDescent="0.2">
      <c r="A101" s="7"/>
      <c r="B101" s="7"/>
      <c r="C101" s="7"/>
      <c r="D101" s="7"/>
      <c r="E101" s="7"/>
      <c r="F101" s="7"/>
      <c r="G101" s="7"/>
      <c r="H101" s="7"/>
      <c r="I101" s="7"/>
      <c r="J101" s="7"/>
      <c r="K101" s="7"/>
      <c r="L101" s="7"/>
      <c r="M101" s="7"/>
      <c r="N101" s="7"/>
      <c r="O101" s="7"/>
      <c r="P101" s="7"/>
      <c r="Q101" s="7"/>
      <c r="R101" s="7"/>
      <c r="S101" s="7"/>
      <c r="T101" s="7"/>
      <c r="U101" s="7"/>
      <c r="V101" s="7"/>
      <c r="W101" s="7"/>
      <c r="X101" s="7"/>
    </row>
    <row r="102" spans="1:24" x14ac:dyDescent="0.2">
      <c r="A102" s="7"/>
      <c r="B102" s="7"/>
      <c r="C102" s="7"/>
      <c r="D102" s="7"/>
      <c r="E102" s="7"/>
      <c r="F102" s="7"/>
      <c r="G102" s="7"/>
      <c r="H102" s="7"/>
      <c r="I102" s="7"/>
      <c r="J102" s="7"/>
      <c r="K102" s="7"/>
      <c r="L102" s="7"/>
      <c r="M102" s="7"/>
      <c r="N102" s="7"/>
      <c r="O102" s="7"/>
      <c r="P102" s="7"/>
      <c r="Q102" s="7"/>
      <c r="R102" s="7"/>
      <c r="S102" s="7"/>
      <c r="T102" s="7"/>
      <c r="U102" s="7"/>
      <c r="V102" s="7"/>
      <c r="W102" s="7"/>
      <c r="X102" s="7"/>
    </row>
    <row r="103" spans="1:24" x14ac:dyDescent="0.2">
      <c r="A103" s="7"/>
      <c r="B103" s="7"/>
      <c r="C103" s="7"/>
      <c r="D103" s="7"/>
      <c r="E103" s="7"/>
      <c r="F103" s="7"/>
      <c r="G103" s="7"/>
      <c r="H103" s="7"/>
      <c r="I103" s="7"/>
      <c r="J103" s="7"/>
      <c r="K103" s="7"/>
      <c r="L103" s="7"/>
      <c r="M103" s="7"/>
      <c r="N103" s="7"/>
      <c r="O103" s="7"/>
      <c r="P103" s="7"/>
      <c r="Q103" s="7"/>
      <c r="R103" s="7"/>
      <c r="S103" s="7"/>
      <c r="T103" s="7"/>
      <c r="U103" s="7"/>
      <c r="V103" s="7"/>
      <c r="W103" s="7"/>
      <c r="X103" s="7"/>
    </row>
    <row r="104" spans="1:24" x14ac:dyDescent="0.2">
      <c r="A104" s="7"/>
      <c r="B104" s="7"/>
      <c r="C104" s="7"/>
      <c r="D104" s="7"/>
      <c r="E104" s="7"/>
      <c r="F104" s="7"/>
      <c r="G104" s="7"/>
      <c r="H104" s="7"/>
      <c r="I104" s="7"/>
      <c r="J104" s="7"/>
      <c r="K104" s="7"/>
      <c r="L104" s="7"/>
      <c r="M104" s="7"/>
      <c r="N104" s="7"/>
      <c r="O104" s="7"/>
      <c r="P104" s="7"/>
      <c r="Q104" s="7"/>
      <c r="R104" s="7"/>
      <c r="S104" s="7"/>
      <c r="T104" s="7"/>
      <c r="U104" s="7"/>
      <c r="V104" s="7"/>
      <c r="W104" s="7"/>
      <c r="X104" s="7"/>
    </row>
    <row r="105" spans="1:24" x14ac:dyDescent="0.2">
      <c r="A105" s="7"/>
      <c r="B105" s="7"/>
      <c r="C105" s="7"/>
      <c r="D105" s="7"/>
      <c r="E105" s="7"/>
      <c r="F105" s="7"/>
      <c r="G105" s="7"/>
      <c r="H105" s="7"/>
      <c r="I105" s="7"/>
      <c r="J105" s="7"/>
      <c r="K105" s="7"/>
      <c r="L105" s="7"/>
      <c r="M105" s="7"/>
      <c r="N105" s="7"/>
      <c r="O105" s="7"/>
      <c r="P105" s="7"/>
      <c r="Q105" s="7"/>
      <c r="R105" s="7"/>
      <c r="S105" s="7"/>
      <c r="T105" s="7"/>
      <c r="U105" s="7"/>
      <c r="V105" s="7"/>
      <c r="W105" s="7"/>
      <c r="X105" s="7"/>
    </row>
    <row r="106" spans="1:24" x14ac:dyDescent="0.2">
      <c r="A106" s="7"/>
      <c r="B106" s="7"/>
      <c r="C106" s="7"/>
      <c r="D106" s="7"/>
      <c r="E106" s="7"/>
      <c r="F106" s="7"/>
      <c r="G106" s="7"/>
      <c r="H106" s="7"/>
      <c r="I106" s="7"/>
      <c r="J106" s="7"/>
      <c r="K106" s="7"/>
      <c r="L106" s="7"/>
      <c r="M106" s="7"/>
      <c r="N106" s="7"/>
      <c r="O106" s="7"/>
      <c r="P106" s="7"/>
      <c r="Q106" s="7"/>
      <c r="R106" s="7"/>
      <c r="S106" s="7"/>
      <c r="T106" s="7"/>
      <c r="U106" s="7"/>
      <c r="V106" s="7"/>
      <c r="W106" s="7"/>
      <c r="X106" s="7"/>
    </row>
    <row r="107" spans="1:24" x14ac:dyDescent="0.2">
      <c r="A107" s="7"/>
      <c r="B107" s="7"/>
      <c r="C107" s="7"/>
      <c r="D107" s="7"/>
      <c r="E107" s="7"/>
      <c r="F107" s="7"/>
      <c r="G107" s="7"/>
      <c r="H107" s="7"/>
      <c r="I107" s="7"/>
      <c r="J107" s="7"/>
      <c r="K107" s="7"/>
      <c r="L107" s="7"/>
      <c r="M107" s="7"/>
      <c r="N107" s="7"/>
      <c r="O107" s="7"/>
      <c r="P107" s="7"/>
      <c r="Q107" s="7"/>
      <c r="R107" s="7"/>
      <c r="S107" s="7"/>
      <c r="T107" s="7"/>
      <c r="U107" s="7"/>
      <c r="V107" s="7"/>
      <c r="W107" s="7"/>
      <c r="X107" s="7"/>
    </row>
    <row r="108" spans="1:24" x14ac:dyDescent="0.2">
      <c r="A108" s="7"/>
      <c r="B108" s="7"/>
      <c r="C108" s="7"/>
      <c r="D108" s="7"/>
      <c r="E108" s="7"/>
      <c r="F108" s="7"/>
      <c r="G108" s="7"/>
      <c r="H108" s="7"/>
      <c r="I108" s="7"/>
      <c r="J108" s="7"/>
      <c r="K108" s="7"/>
      <c r="L108" s="7"/>
      <c r="M108" s="7"/>
      <c r="N108" s="7"/>
      <c r="O108" s="7"/>
      <c r="P108" s="7"/>
      <c r="Q108" s="7"/>
      <c r="R108" s="7"/>
      <c r="S108" s="7"/>
      <c r="T108" s="7"/>
      <c r="U108" s="7"/>
      <c r="V108" s="7"/>
      <c r="W108" s="7"/>
      <c r="X108" s="7"/>
    </row>
    <row r="109" spans="1:24" x14ac:dyDescent="0.2">
      <c r="A109" s="7"/>
      <c r="B109" s="7"/>
      <c r="C109" s="7"/>
      <c r="D109" s="7"/>
      <c r="E109" s="7"/>
      <c r="F109" s="7"/>
      <c r="G109" s="7"/>
      <c r="H109" s="7"/>
      <c r="I109" s="7"/>
      <c r="J109" s="7"/>
      <c r="K109" s="7"/>
      <c r="L109" s="7"/>
      <c r="M109" s="7"/>
      <c r="N109" s="7"/>
      <c r="O109" s="7"/>
      <c r="P109" s="7"/>
      <c r="Q109" s="7"/>
      <c r="R109" s="7"/>
      <c r="S109" s="7"/>
      <c r="T109" s="7"/>
      <c r="U109" s="7"/>
      <c r="V109" s="7"/>
      <c r="W109" s="7"/>
      <c r="X109" s="7"/>
    </row>
    <row r="110" spans="1:24" x14ac:dyDescent="0.2">
      <c r="A110" s="7"/>
      <c r="B110" s="7"/>
      <c r="C110" s="7"/>
      <c r="D110" s="7"/>
      <c r="E110" s="7"/>
      <c r="F110" s="7"/>
      <c r="G110" s="7"/>
      <c r="H110" s="7"/>
      <c r="I110" s="7"/>
      <c r="J110" s="7"/>
      <c r="K110" s="7"/>
      <c r="L110" s="7"/>
      <c r="M110" s="7"/>
      <c r="N110" s="7"/>
      <c r="O110" s="7"/>
      <c r="P110" s="7"/>
      <c r="Q110" s="7"/>
      <c r="R110" s="7"/>
      <c r="S110" s="7"/>
      <c r="T110" s="7"/>
      <c r="U110" s="7"/>
      <c r="V110" s="7"/>
      <c r="W110" s="7"/>
      <c r="X110" s="7"/>
    </row>
    <row r="111" spans="1:24" x14ac:dyDescent="0.2">
      <c r="A111" s="7"/>
      <c r="B111" s="7"/>
      <c r="C111" s="7"/>
      <c r="D111" s="7"/>
      <c r="E111" s="7"/>
      <c r="F111" s="7"/>
      <c r="G111" s="7"/>
      <c r="H111" s="7"/>
      <c r="I111" s="7"/>
      <c r="J111" s="7"/>
      <c r="K111" s="7"/>
      <c r="L111" s="7"/>
      <c r="M111" s="7"/>
      <c r="N111" s="7"/>
      <c r="O111" s="7"/>
      <c r="P111" s="7"/>
      <c r="Q111" s="7"/>
      <c r="R111" s="7"/>
      <c r="S111" s="7"/>
      <c r="T111" s="7"/>
      <c r="U111" s="7"/>
      <c r="V111" s="7"/>
      <c r="W111" s="7"/>
      <c r="X111" s="7"/>
    </row>
    <row r="112" spans="1:24" x14ac:dyDescent="0.2">
      <c r="A112" s="7"/>
      <c r="B112" s="7"/>
      <c r="C112" s="7"/>
      <c r="D112" s="7"/>
      <c r="E112" s="7"/>
      <c r="F112" s="7"/>
      <c r="G112" s="7"/>
      <c r="H112" s="7"/>
      <c r="I112" s="7"/>
      <c r="J112" s="7"/>
      <c r="K112" s="7"/>
      <c r="L112" s="7"/>
      <c r="M112" s="7"/>
      <c r="N112" s="7"/>
      <c r="O112" s="7"/>
      <c r="P112" s="7"/>
      <c r="Q112" s="7"/>
      <c r="R112" s="7"/>
      <c r="S112" s="7"/>
      <c r="T112" s="7"/>
      <c r="U112" s="7"/>
      <c r="V112" s="7"/>
      <c r="W112" s="7"/>
      <c r="X112" s="7"/>
    </row>
    <row r="113" spans="1:24" x14ac:dyDescent="0.2">
      <c r="A113" s="7"/>
      <c r="B113" s="7"/>
      <c r="C113" s="7"/>
      <c r="D113" s="7"/>
      <c r="E113" s="7"/>
      <c r="F113" s="7"/>
      <c r="G113" s="7"/>
      <c r="H113" s="7"/>
      <c r="I113" s="7"/>
      <c r="J113" s="7"/>
      <c r="K113" s="7"/>
      <c r="L113" s="7"/>
      <c r="M113" s="7"/>
      <c r="N113" s="7"/>
      <c r="O113" s="7"/>
      <c r="P113" s="7"/>
      <c r="Q113" s="7"/>
      <c r="R113" s="7"/>
      <c r="S113" s="7"/>
      <c r="T113" s="7"/>
      <c r="U113" s="7"/>
      <c r="V113" s="7"/>
      <c r="W113" s="7"/>
      <c r="X113" s="7"/>
    </row>
    <row r="114" spans="1:24" x14ac:dyDescent="0.2">
      <c r="A114" s="7"/>
      <c r="B114" s="7"/>
      <c r="C114" s="7"/>
      <c r="D114" s="7"/>
      <c r="E114" s="7"/>
      <c r="F114" s="7"/>
      <c r="G114" s="7"/>
      <c r="H114" s="7"/>
      <c r="I114" s="7"/>
      <c r="J114" s="7"/>
      <c r="K114" s="7"/>
      <c r="L114" s="7"/>
      <c r="M114" s="7"/>
      <c r="N114" s="7"/>
      <c r="O114" s="7"/>
      <c r="P114" s="7"/>
      <c r="Q114" s="7"/>
      <c r="R114" s="7"/>
      <c r="S114" s="7"/>
      <c r="T114" s="7"/>
      <c r="U114" s="7"/>
      <c r="V114" s="7"/>
      <c r="W114" s="7"/>
      <c r="X114" s="7"/>
    </row>
    <row r="115" spans="1:24" x14ac:dyDescent="0.2">
      <c r="A115" s="7"/>
      <c r="B115" s="7"/>
      <c r="C115" s="7"/>
      <c r="D115" s="7"/>
      <c r="E115" s="7"/>
      <c r="F115" s="7"/>
      <c r="G115" s="7"/>
      <c r="H115" s="7"/>
      <c r="I115" s="7"/>
      <c r="J115" s="7"/>
      <c r="K115" s="7"/>
      <c r="L115" s="7"/>
      <c r="M115" s="7"/>
      <c r="N115" s="7"/>
      <c r="O115" s="7"/>
      <c r="P115" s="7"/>
      <c r="Q115" s="7"/>
      <c r="R115" s="7"/>
      <c r="S115" s="7"/>
      <c r="T115" s="7"/>
      <c r="U115" s="7"/>
      <c r="V115" s="7"/>
      <c r="W115" s="7"/>
      <c r="X115" s="7"/>
    </row>
  </sheetData>
  <phoneticPr fontId="2" type="noConversion"/>
  <conditionalFormatting sqref="A7:E7">
    <cfRule type="expression" dxfId="2" priority="1" stopIfTrue="1">
      <formula>$A$7=0</formula>
    </cfRule>
  </conditionalFormatting>
  <conditionalFormatting sqref="F7:K7">
    <cfRule type="expression" dxfId="1" priority="2" stopIfTrue="1">
      <formula>$A$7=0</formula>
    </cfRule>
    <cfRule type="expression" dxfId="0" priority="3" stopIfTrue="1">
      <formula>$F$7="Решение найдено"</formula>
    </cfRule>
  </conditionalFormatting>
  <pageMargins left="0.75" right="0.75" top="1" bottom="1" header="0.5" footer="0.5"/>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30" r:id="rId4" name="Drop Down 106">
              <controlPr defaultSize="0" autoLine="0" autoPict="0">
                <anchor moveWithCells="1">
                  <from>
                    <xdr:col>7</xdr:col>
                    <xdr:colOff>800100</xdr:colOff>
                    <xdr:row>4</xdr:row>
                    <xdr:rowOff>0</xdr:rowOff>
                  </from>
                  <to>
                    <xdr:col>8</xdr:col>
                    <xdr:colOff>895350</xdr:colOff>
                    <xdr:row>4</xdr:row>
                    <xdr:rowOff>219075</xdr:rowOff>
                  </to>
                </anchor>
              </controlPr>
            </control>
          </mc:Choice>
        </mc:AlternateContent>
        <mc:AlternateContent xmlns:mc="http://schemas.openxmlformats.org/markup-compatibility/2006">
          <mc:Choice Requires="x14">
            <control shapeId="1189" r:id="rId5" name="List Box 165">
              <controlPr defaultSize="0" autoLine="0" autoPict="0">
                <anchor moveWithCells="1">
                  <from>
                    <xdr:col>6</xdr:col>
                    <xdr:colOff>9525</xdr:colOff>
                    <xdr:row>3</xdr:row>
                    <xdr:rowOff>47625</xdr:rowOff>
                  </from>
                  <to>
                    <xdr:col>8</xdr:col>
                    <xdr:colOff>0</xdr:colOff>
                    <xdr:row>4</xdr:row>
                    <xdr:rowOff>219075</xdr:rowOff>
                  </to>
                </anchor>
              </controlPr>
            </control>
          </mc:Choice>
        </mc:AlternateContent>
        <mc:AlternateContent xmlns:mc="http://schemas.openxmlformats.org/markup-compatibility/2006">
          <mc:Choice Requires="x14">
            <control shapeId="1289" r:id="rId6" name="Drop Down 265">
              <controlPr defaultSize="0" autoLine="0" autoPict="0">
                <anchor moveWithCells="1">
                  <from>
                    <xdr:col>8</xdr:col>
                    <xdr:colOff>885825</xdr:colOff>
                    <xdr:row>4</xdr:row>
                    <xdr:rowOff>0</xdr:rowOff>
                  </from>
                  <to>
                    <xdr:col>10</xdr:col>
                    <xdr:colOff>9525</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5"/>
  <dimension ref="A1:N126"/>
  <sheetViews>
    <sheetView topLeftCell="A61" zoomScale="85" zoomScaleNormal="85" workbookViewId="0">
      <selection activeCell="N73" sqref="N73"/>
    </sheetView>
  </sheetViews>
  <sheetFormatPr defaultRowHeight="12.75" x14ac:dyDescent="0.2"/>
  <cols>
    <col min="1" max="1" width="4.140625" customWidth="1"/>
    <col min="2" max="2" width="13" customWidth="1"/>
    <col min="3" max="3" width="12.28515625" customWidth="1"/>
    <col min="4" max="4" width="12.42578125" customWidth="1"/>
    <col min="5" max="5" width="12.85546875" customWidth="1"/>
    <col min="6" max="6" width="8.85546875" customWidth="1"/>
    <col min="7" max="7" width="16" customWidth="1"/>
    <col min="8" max="8" width="9" customWidth="1"/>
    <col min="9" max="9" width="14.5703125" customWidth="1"/>
    <col min="10" max="10" width="9.85546875" customWidth="1"/>
  </cols>
  <sheetData>
    <row r="1" spans="1:14" ht="18" x14ac:dyDescent="0.25">
      <c r="A1" s="7" t="s">
        <v>65</v>
      </c>
    </row>
    <row r="2" spans="1:14" x14ac:dyDescent="0.2">
      <c r="A2" s="7" t="s">
        <v>66</v>
      </c>
    </row>
    <row r="3" spans="1:14" x14ac:dyDescent="0.2">
      <c r="A3" s="7" t="s">
        <v>67</v>
      </c>
    </row>
    <row r="4" spans="1:14" x14ac:dyDescent="0.2">
      <c r="A4" s="7"/>
    </row>
    <row r="5" spans="1:14" ht="15.75" x14ac:dyDescent="0.25">
      <c r="A5" s="82" t="s">
        <v>68</v>
      </c>
    </row>
    <row r="6" spans="1:14" x14ac:dyDescent="0.2">
      <c r="A6" s="83" t="s">
        <v>69</v>
      </c>
    </row>
    <row r="7" spans="1:14" ht="15.75" x14ac:dyDescent="0.25">
      <c r="A7" s="84" t="s">
        <v>70</v>
      </c>
    </row>
    <row r="8" spans="1:14" ht="15.75" x14ac:dyDescent="0.25">
      <c r="A8" s="84" t="s">
        <v>71</v>
      </c>
      <c r="B8" s="34"/>
      <c r="C8" s="34"/>
      <c r="D8" s="34"/>
      <c r="E8" s="34"/>
      <c r="F8" s="34"/>
      <c r="G8" s="34"/>
      <c r="H8" s="34"/>
      <c r="I8" s="34"/>
      <c r="J8" s="34"/>
      <c r="K8" s="34"/>
      <c r="L8" s="7"/>
      <c r="M8" s="7"/>
      <c r="N8" s="7"/>
    </row>
    <row r="9" spans="1:14" x14ac:dyDescent="0.2">
      <c r="A9" s="34"/>
      <c r="B9" s="34"/>
      <c r="C9" s="34"/>
      <c r="D9" s="34"/>
      <c r="E9" s="34"/>
      <c r="F9" s="34"/>
      <c r="G9" s="34"/>
      <c r="H9" s="34"/>
      <c r="I9" s="34"/>
      <c r="J9" s="34"/>
      <c r="K9" s="34"/>
      <c r="L9" s="7"/>
      <c r="M9" s="7"/>
      <c r="N9" s="7"/>
    </row>
    <row r="10" spans="1:14" ht="13.5" thickBot="1" x14ac:dyDescent="0.25">
      <c r="A10" s="85" t="s">
        <v>72</v>
      </c>
      <c r="J10" s="7"/>
      <c r="K10" s="7"/>
      <c r="L10" s="7"/>
      <c r="M10" s="7"/>
      <c r="N10" s="7"/>
    </row>
    <row r="11" spans="1:14" ht="39" thickBot="1" x14ac:dyDescent="0.25">
      <c r="A11" s="86" t="s">
        <v>6</v>
      </c>
      <c r="B11" s="87" t="s">
        <v>73</v>
      </c>
      <c r="C11" s="87" t="s">
        <v>74</v>
      </c>
      <c r="D11" s="87" t="s">
        <v>75</v>
      </c>
      <c r="E11" s="87" t="s">
        <v>76</v>
      </c>
      <c r="F11" s="88" t="s">
        <v>77</v>
      </c>
      <c r="G11" s="87" t="s">
        <v>55</v>
      </c>
      <c r="H11" s="87" t="s">
        <v>78</v>
      </c>
      <c r="I11" s="87" t="s">
        <v>79</v>
      </c>
      <c r="J11" s="89" t="s">
        <v>80</v>
      </c>
      <c r="K11" s="7"/>
      <c r="L11" s="7"/>
      <c r="M11" s="7"/>
      <c r="N11" s="7"/>
    </row>
    <row r="12" spans="1:14" x14ac:dyDescent="0.2">
      <c r="A12" s="49">
        <v>1</v>
      </c>
      <c r="B12" s="50">
        <v>8373.9966448631076</v>
      </c>
      <c r="C12" s="51">
        <v>8074603744255.6826</v>
      </c>
      <c r="D12" s="51">
        <v>8106875067831791</v>
      </c>
      <c r="E12" s="51">
        <v>5.9509829595164384E+16</v>
      </c>
      <c r="F12" s="51">
        <v>66</v>
      </c>
      <c r="G12" s="51">
        <v>0.1</v>
      </c>
      <c r="H12" s="51">
        <v>0.9999999999991438</v>
      </c>
      <c r="I12" s="90">
        <f>ABS(H12-$B$22)</f>
        <v>8979.3657737184931</v>
      </c>
      <c r="J12" s="91">
        <f>-LN(G12)</f>
        <v>2.3025850929940455</v>
      </c>
      <c r="K12" s="18"/>
      <c r="L12" s="18"/>
      <c r="M12" s="18"/>
      <c r="N12" s="7"/>
    </row>
    <row r="13" spans="1:14" x14ac:dyDescent="0.2">
      <c r="A13" s="37">
        <v>2</v>
      </c>
      <c r="B13" s="38">
        <v>8955.3793239346905</v>
      </c>
      <c r="C13" s="39">
        <v>5553370097849.3193</v>
      </c>
      <c r="D13" s="39">
        <v>8804198131287480</v>
      </c>
      <c r="E13" s="39">
        <v>4.092833762114948E+16</v>
      </c>
      <c r="F13" s="39">
        <v>68</v>
      </c>
      <c r="G13" s="39">
        <v>0.01</v>
      </c>
      <c r="H13" s="39">
        <v>0.9999999999991438</v>
      </c>
      <c r="I13" s="92">
        <f t="shared" ref="I13:I77" si="0">ABS(H13-$B$22)</f>
        <v>8979.3657737184931</v>
      </c>
      <c r="J13" s="93">
        <f t="shared" ref="J13:J22" si="1">-LN(G13)</f>
        <v>4.6051701859880909</v>
      </c>
      <c r="K13" s="18"/>
      <c r="L13" s="18"/>
      <c r="M13" s="18"/>
      <c r="N13" s="7"/>
    </row>
    <row r="14" spans="1:14" x14ac:dyDescent="0.2">
      <c r="A14" s="37">
        <v>3</v>
      </c>
      <c r="B14" s="38">
        <v>8979.9155485856154</v>
      </c>
      <c r="C14" s="39">
        <v>5469279669195.4004</v>
      </c>
      <c r="D14" s="39">
        <v>8805078379000866</v>
      </c>
      <c r="E14" s="39">
        <v>4.0308591161970104E+16</v>
      </c>
      <c r="F14" s="39">
        <v>69</v>
      </c>
      <c r="G14" s="39">
        <v>1.0000000000000002E-3</v>
      </c>
      <c r="H14" s="39">
        <v>0.9999999999991438</v>
      </c>
      <c r="I14" s="92">
        <f t="shared" si="0"/>
        <v>8979.3657737184931</v>
      </c>
      <c r="J14" s="93">
        <f t="shared" si="1"/>
        <v>6.9077552789821368</v>
      </c>
      <c r="K14" s="18"/>
      <c r="L14" s="18"/>
      <c r="M14" s="18"/>
      <c r="N14" s="7"/>
    </row>
    <row r="15" spans="1:14" x14ac:dyDescent="0.2">
      <c r="A15" s="37">
        <v>4</v>
      </c>
      <c r="B15" s="38">
        <v>8980.3656253145564</v>
      </c>
      <c r="C15" s="39">
        <v>5467751250438.8701</v>
      </c>
      <c r="D15" s="39">
        <v>8805078661477439</v>
      </c>
      <c r="E15" s="39">
        <v>4.0297326715734472E+16</v>
      </c>
      <c r="F15" s="39">
        <v>70</v>
      </c>
      <c r="G15" s="39">
        <v>1.0000000000000003E-4</v>
      </c>
      <c r="H15" s="39">
        <v>0.9999999999991438</v>
      </c>
      <c r="I15" s="92">
        <f t="shared" si="0"/>
        <v>8979.3657737184931</v>
      </c>
      <c r="J15" s="93">
        <f t="shared" si="1"/>
        <v>9.2103403719761818</v>
      </c>
      <c r="K15" s="18"/>
      <c r="L15" s="18"/>
      <c r="M15" s="18"/>
      <c r="N15" s="7"/>
    </row>
    <row r="16" spans="1:14" x14ac:dyDescent="0.2">
      <c r="A16" s="37">
        <v>5</v>
      </c>
      <c r="B16" s="38">
        <v>8980.3656253145564</v>
      </c>
      <c r="C16" s="39">
        <v>5467751250438.8701</v>
      </c>
      <c r="D16" s="39">
        <v>8805078661477439</v>
      </c>
      <c r="E16" s="39">
        <v>4.0297326715734472E+16</v>
      </c>
      <c r="F16" s="39">
        <v>70</v>
      </c>
      <c r="G16" s="39">
        <v>1.0000000000000006E-5</v>
      </c>
      <c r="H16" s="39">
        <v>0.9999999999991438</v>
      </c>
      <c r="I16" s="92">
        <f t="shared" si="0"/>
        <v>8979.3657737184931</v>
      </c>
      <c r="J16" s="93">
        <f t="shared" si="1"/>
        <v>11.512925464970229</v>
      </c>
      <c r="K16" s="18"/>
      <c r="L16" s="18"/>
      <c r="M16" s="18"/>
      <c r="N16" s="7"/>
    </row>
    <row r="17" spans="1:14" x14ac:dyDescent="0.2">
      <c r="A17" s="37">
        <v>6</v>
      </c>
      <c r="B17" s="38">
        <v>8980.3656253145564</v>
      </c>
      <c r="C17" s="39">
        <v>5467751250438.8701</v>
      </c>
      <c r="D17" s="39">
        <v>8805078661477439</v>
      </c>
      <c r="E17" s="39">
        <v>4.0297326715734472E+16</v>
      </c>
      <c r="F17" s="39">
        <v>70</v>
      </c>
      <c r="G17" s="39">
        <v>1.0000000000000006E-6</v>
      </c>
      <c r="H17" s="39">
        <v>0.9999999999991438</v>
      </c>
      <c r="I17" s="92">
        <f t="shared" si="0"/>
        <v>8979.3657737184931</v>
      </c>
      <c r="J17" s="93">
        <f t="shared" si="1"/>
        <v>13.815510557964274</v>
      </c>
      <c r="K17" s="18"/>
      <c r="L17" s="18"/>
      <c r="M17" s="18"/>
      <c r="N17" s="7"/>
    </row>
    <row r="18" spans="1:14" x14ac:dyDescent="0.2">
      <c r="A18" s="37">
        <v>7</v>
      </c>
      <c r="B18" s="38">
        <v>8980.3656253145564</v>
      </c>
      <c r="C18" s="39">
        <v>5467751250438.8701</v>
      </c>
      <c r="D18" s="39">
        <v>8805078661477439</v>
      </c>
      <c r="E18" s="39">
        <v>4.0297326715734472E+16</v>
      </c>
      <c r="F18" s="39">
        <v>70</v>
      </c>
      <c r="G18" s="39">
        <v>1.0000000000000006E-7</v>
      </c>
      <c r="H18" s="39">
        <v>0.9999999999991438</v>
      </c>
      <c r="I18" s="92">
        <f t="shared" si="0"/>
        <v>8979.3657737184931</v>
      </c>
      <c r="J18" s="93">
        <f t="shared" si="1"/>
        <v>16.11809565095832</v>
      </c>
      <c r="K18" s="18"/>
      <c r="L18" s="18"/>
      <c r="M18" s="18"/>
      <c r="N18" s="7"/>
    </row>
    <row r="19" spans="1:14" x14ac:dyDescent="0.2">
      <c r="A19" s="37">
        <v>8</v>
      </c>
      <c r="B19" s="38">
        <v>8980.3656253145564</v>
      </c>
      <c r="C19" s="39">
        <v>5467751250438.8701</v>
      </c>
      <c r="D19" s="39">
        <v>8805078661477439</v>
      </c>
      <c r="E19" s="39">
        <v>4.0297326715734472E+16</v>
      </c>
      <c r="F19" s="39">
        <v>70</v>
      </c>
      <c r="G19" s="39">
        <v>1.0000000000000008E-8</v>
      </c>
      <c r="H19" s="39">
        <v>0.9999999999991438</v>
      </c>
      <c r="I19" s="92">
        <f t="shared" si="0"/>
        <v>8979.3657737184931</v>
      </c>
      <c r="J19" s="93">
        <f t="shared" si="1"/>
        <v>18.420680743952364</v>
      </c>
      <c r="K19" s="18"/>
      <c r="L19" s="18"/>
      <c r="M19" s="18"/>
      <c r="N19" s="7"/>
    </row>
    <row r="20" spans="1:14" x14ac:dyDescent="0.2">
      <c r="A20" s="37">
        <v>9</v>
      </c>
      <c r="B20" s="38">
        <v>8980.3657737184931</v>
      </c>
      <c r="C20" s="39">
        <v>5467750746555.9551</v>
      </c>
      <c r="D20" s="39">
        <v>8805078661477449</v>
      </c>
      <c r="E20" s="39">
        <v>4.0297323002117392E+16</v>
      </c>
      <c r="F20" s="39">
        <v>71</v>
      </c>
      <c r="G20" s="39">
        <v>1.0000000000000009E-9</v>
      </c>
      <c r="H20" s="39">
        <v>0.9999999999991438</v>
      </c>
      <c r="I20" s="92">
        <f t="shared" si="0"/>
        <v>8979.3657737184931</v>
      </c>
      <c r="J20" s="93">
        <f t="shared" si="1"/>
        <v>20.72326583694641</v>
      </c>
      <c r="K20" s="18"/>
      <c r="L20" s="18"/>
      <c r="M20" s="18"/>
      <c r="N20" s="7"/>
    </row>
    <row r="21" spans="1:14" x14ac:dyDescent="0.2">
      <c r="A21" s="37">
        <v>10</v>
      </c>
      <c r="B21" s="38">
        <v>8980.3657737184931</v>
      </c>
      <c r="C21" s="39">
        <v>5467750746555.9551</v>
      </c>
      <c r="D21" s="39">
        <v>8805078661477449</v>
      </c>
      <c r="E21" s="39">
        <v>4.0297323002117392E+16</v>
      </c>
      <c r="F21" s="39">
        <v>71</v>
      </c>
      <c r="G21" s="39">
        <v>1.0000000000000009E-10</v>
      </c>
      <c r="H21" s="39">
        <v>0.9999999999991438</v>
      </c>
      <c r="I21" s="92">
        <f t="shared" si="0"/>
        <v>8979.3657737184931</v>
      </c>
      <c r="J21" s="93">
        <f t="shared" si="1"/>
        <v>23.025850929940457</v>
      </c>
      <c r="K21" s="18"/>
      <c r="L21" s="18"/>
      <c r="M21" s="18"/>
      <c r="N21" s="7"/>
    </row>
    <row r="22" spans="1:14" ht="13.5" thickBot="1" x14ac:dyDescent="0.25">
      <c r="A22" s="41">
        <v>11</v>
      </c>
      <c r="B22" s="42">
        <v>8980.3657737184931</v>
      </c>
      <c r="C22" s="43">
        <v>5467750746555.9551</v>
      </c>
      <c r="D22" s="43">
        <v>8805078661477449</v>
      </c>
      <c r="E22" s="43">
        <v>4.0297323002117392E+16</v>
      </c>
      <c r="F22" s="43">
        <v>71</v>
      </c>
      <c r="G22" s="43">
        <v>1.0000000000000011E-11</v>
      </c>
      <c r="H22" s="43">
        <v>0.9999999999991438</v>
      </c>
      <c r="I22" s="94">
        <f t="shared" si="0"/>
        <v>8979.3657737184931</v>
      </c>
      <c r="J22" s="95">
        <f t="shared" si="1"/>
        <v>25.3284360229345</v>
      </c>
      <c r="K22" s="18"/>
      <c r="L22" s="18"/>
      <c r="M22" s="18"/>
      <c r="N22" s="7"/>
    </row>
    <row r="23" spans="1:14" x14ac:dyDescent="0.2">
      <c r="A23" s="96"/>
      <c r="B23" s="97"/>
      <c r="C23" s="96"/>
      <c r="D23" s="96"/>
      <c r="E23" s="96"/>
      <c r="F23" s="96"/>
      <c r="G23" s="96"/>
      <c r="H23" s="96"/>
      <c r="I23" s="98"/>
      <c r="J23" s="18"/>
      <c r="K23" s="18"/>
      <c r="L23" s="18"/>
      <c r="M23" s="18"/>
      <c r="N23" s="7"/>
    </row>
    <row r="24" spans="1:14" ht="13.5" thickBot="1" x14ac:dyDescent="0.25">
      <c r="A24" s="18"/>
      <c r="D24" s="18"/>
      <c r="E24" s="18"/>
      <c r="F24" s="18"/>
      <c r="G24" s="18"/>
      <c r="H24" s="18"/>
      <c r="I24" s="35"/>
      <c r="J24" s="18"/>
      <c r="K24" s="18"/>
      <c r="L24" s="18"/>
      <c r="M24" s="18"/>
      <c r="N24" s="7"/>
    </row>
    <row r="25" spans="1:14" ht="13.5" thickBot="1" x14ac:dyDescent="0.25">
      <c r="A25" s="85" t="s">
        <v>81</v>
      </c>
      <c r="H25" s="99">
        <v>183.25236272894983</v>
      </c>
      <c r="I25" s="71">
        <f>H86-H27</f>
        <v>10811.889401008051</v>
      </c>
      <c r="J25" s="18"/>
      <c r="K25" s="18"/>
      <c r="L25" s="18"/>
      <c r="M25" s="18"/>
      <c r="N25" s="7"/>
    </row>
    <row r="26" spans="1:14" ht="39" thickBot="1" x14ac:dyDescent="0.25">
      <c r="A26" s="86" t="s">
        <v>6</v>
      </c>
      <c r="B26" s="87" t="s">
        <v>73</v>
      </c>
      <c r="C26" s="87" t="s">
        <v>74</v>
      </c>
      <c r="D26" s="87" t="s">
        <v>75</v>
      </c>
      <c r="E26" s="87" t="s">
        <v>76</v>
      </c>
      <c r="F26" s="88" t="s">
        <v>77</v>
      </c>
      <c r="G26" s="87" t="s">
        <v>55</v>
      </c>
      <c r="H26" s="87" t="s">
        <v>78</v>
      </c>
      <c r="I26" s="100" t="s">
        <v>79</v>
      </c>
      <c r="J26" s="18"/>
      <c r="K26" s="18"/>
      <c r="L26" s="18"/>
      <c r="M26" s="18"/>
      <c r="N26" s="7"/>
    </row>
    <row r="27" spans="1:14" x14ac:dyDescent="0.2">
      <c r="A27" s="49">
        <v>1</v>
      </c>
      <c r="B27" s="50">
        <v>8980.3657737184931</v>
      </c>
      <c r="C27" s="51">
        <v>5467750746555.9551</v>
      </c>
      <c r="D27" s="51">
        <v>8805078661477449</v>
      </c>
      <c r="E27" s="51">
        <v>4.0297323002117392E+16</v>
      </c>
      <c r="F27" s="51">
        <v>71</v>
      </c>
      <c r="G27" s="125">
        <v>1.0000000000000011E-11</v>
      </c>
      <c r="H27" s="65">
        <f t="shared" ref="H27:H74" si="2">H28-$H$25</f>
        <v>0.99999999996066435</v>
      </c>
      <c r="I27" s="52">
        <f t="shared" si="0"/>
        <v>8979.3657737185331</v>
      </c>
      <c r="J27" s="18"/>
      <c r="K27" s="18"/>
      <c r="L27" s="18"/>
      <c r="M27" s="18"/>
      <c r="N27" s="7"/>
    </row>
    <row r="28" spans="1:14" x14ac:dyDescent="0.2">
      <c r="A28" s="37">
        <v>2</v>
      </c>
      <c r="B28" s="38">
        <v>8980.3657737182621</v>
      </c>
      <c r="C28" s="39">
        <v>5467750746556.7705</v>
      </c>
      <c r="D28" s="39">
        <v>8805078661477499</v>
      </c>
      <c r="E28" s="39">
        <v>4.02973230021234E+16</v>
      </c>
      <c r="F28" s="39">
        <v>34</v>
      </c>
      <c r="G28" s="39">
        <v>1.0000000000000011E-11</v>
      </c>
      <c r="H28" s="66">
        <f t="shared" si="2"/>
        <v>184.2523627289105</v>
      </c>
      <c r="I28" s="40">
        <f t="shared" si="0"/>
        <v>8796.1134109895829</v>
      </c>
      <c r="J28" s="18"/>
      <c r="K28" s="18"/>
      <c r="L28" s="18"/>
      <c r="M28" s="18"/>
      <c r="N28" s="7"/>
    </row>
    <row r="29" spans="1:14" x14ac:dyDescent="0.2">
      <c r="A29" s="37">
        <v>3</v>
      </c>
      <c r="B29" s="38">
        <v>8980.3657737166468</v>
      </c>
      <c r="C29" s="39">
        <v>5467750746562.249</v>
      </c>
      <c r="D29" s="39">
        <v>8805078661477489</v>
      </c>
      <c r="E29" s="39">
        <v>4.0297323002163776E+16</v>
      </c>
      <c r="F29" s="39">
        <v>29</v>
      </c>
      <c r="G29" s="39">
        <v>1.0000000000000011E-11</v>
      </c>
      <c r="H29" s="66">
        <f t="shared" si="2"/>
        <v>367.50472545786033</v>
      </c>
      <c r="I29" s="40">
        <f t="shared" si="0"/>
        <v>8612.8610482606327</v>
      </c>
      <c r="J29" s="18"/>
      <c r="K29" s="18"/>
      <c r="L29" s="18"/>
      <c r="M29" s="18"/>
      <c r="N29" s="7"/>
    </row>
    <row r="30" spans="1:14" x14ac:dyDescent="0.2">
      <c r="A30" s="37">
        <v>4</v>
      </c>
      <c r="B30" s="38">
        <v>8980.3657737014692</v>
      </c>
      <c r="C30" s="39">
        <v>5467750746613.8037</v>
      </c>
      <c r="D30" s="39">
        <v>8805078661477524</v>
      </c>
      <c r="E30" s="39">
        <v>4.0297323002543736E+16</v>
      </c>
      <c r="F30" s="39">
        <v>26</v>
      </c>
      <c r="G30" s="39">
        <v>1.0000000000000011E-11</v>
      </c>
      <c r="H30" s="66">
        <f t="shared" si="2"/>
        <v>550.75708818681017</v>
      </c>
      <c r="I30" s="40">
        <f t="shared" si="0"/>
        <v>8429.6086855316826</v>
      </c>
      <c r="J30" s="18"/>
      <c r="K30" s="18"/>
      <c r="L30" s="18"/>
      <c r="M30" s="18"/>
      <c r="N30" s="7"/>
    </row>
    <row r="31" spans="1:14" x14ac:dyDescent="0.2">
      <c r="A31" s="37">
        <v>5</v>
      </c>
      <c r="B31" s="38">
        <v>8980.3657737114299</v>
      </c>
      <c r="C31" s="39">
        <v>5467750746579.9639</v>
      </c>
      <c r="D31" s="39">
        <v>8805078661477492</v>
      </c>
      <c r="E31" s="39">
        <v>4.0297323002294336E+16</v>
      </c>
      <c r="F31" s="39">
        <v>24</v>
      </c>
      <c r="G31" s="39">
        <v>1.0000000000000011E-11</v>
      </c>
      <c r="H31" s="66">
        <f t="shared" si="2"/>
        <v>734.00945091576</v>
      </c>
      <c r="I31" s="40">
        <f t="shared" si="0"/>
        <v>8246.3563228027324</v>
      </c>
      <c r="J31" s="18"/>
      <c r="K31" s="18"/>
      <c r="L31" s="18"/>
      <c r="M31" s="18"/>
      <c r="N31" s="7"/>
    </row>
    <row r="32" spans="1:14" x14ac:dyDescent="0.2">
      <c r="A32" s="37">
        <v>6</v>
      </c>
      <c r="B32" s="38">
        <v>8980.3657737185094</v>
      </c>
      <c r="C32" s="39">
        <v>5467750746555.916</v>
      </c>
      <c r="D32" s="39">
        <v>8805078661477475</v>
      </c>
      <c r="E32" s="39">
        <v>4.0297323002117104E+16</v>
      </c>
      <c r="F32" s="39">
        <v>23</v>
      </c>
      <c r="G32" s="39">
        <v>1.0000000000000011E-11</v>
      </c>
      <c r="H32" s="66">
        <f t="shared" si="2"/>
        <v>917.26181364470983</v>
      </c>
      <c r="I32" s="40">
        <f t="shared" si="0"/>
        <v>8063.1039600737831</v>
      </c>
      <c r="J32" s="18"/>
      <c r="K32" s="18"/>
      <c r="L32" s="18"/>
      <c r="M32" s="18"/>
      <c r="N32" s="7"/>
    </row>
    <row r="33" spans="1:14" x14ac:dyDescent="0.2">
      <c r="A33" s="37">
        <v>7</v>
      </c>
      <c r="B33" s="38">
        <v>8980.3657736804271</v>
      </c>
      <c r="C33" s="39">
        <v>5467750746685.25</v>
      </c>
      <c r="D33" s="39">
        <v>8805078661477525</v>
      </c>
      <c r="E33" s="39">
        <v>4.0297323003070296E+16</v>
      </c>
      <c r="F33" s="39">
        <v>21</v>
      </c>
      <c r="G33" s="39">
        <v>1.0000000000000011E-11</v>
      </c>
      <c r="H33" s="66">
        <f t="shared" si="2"/>
        <v>1100.5141763736597</v>
      </c>
      <c r="I33" s="40">
        <f t="shared" si="0"/>
        <v>7879.8515973448339</v>
      </c>
      <c r="J33" s="18"/>
      <c r="K33" s="18"/>
      <c r="L33" s="18"/>
      <c r="M33" s="18"/>
      <c r="N33" s="7"/>
    </row>
    <row r="34" spans="1:14" x14ac:dyDescent="0.2">
      <c r="A34" s="37">
        <v>8</v>
      </c>
      <c r="B34" s="38">
        <v>8980.3657737129433</v>
      </c>
      <c r="C34" s="39">
        <v>5467750746574.8359</v>
      </c>
      <c r="D34" s="39">
        <v>8805078661477509</v>
      </c>
      <c r="E34" s="39">
        <v>4.0297323002256544E+16</v>
      </c>
      <c r="F34" s="39">
        <v>20</v>
      </c>
      <c r="G34" s="39">
        <v>1.0000000000000011E-11</v>
      </c>
      <c r="H34" s="66">
        <f t="shared" si="2"/>
        <v>1283.7665391026094</v>
      </c>
      <c r="I34" s="40">
        <f t="shared" si="0"/>
        <v>7696.5992346158837</v>
      </c>
      <c r="J34" s="18"/>
      <c r="K34" s="18"/>
      <c r="L34" s="18"/>
      <c r="M34" s="18"/>
      <c r="N34" s="7"/>
    </row>
    <row r="35" spans="1:14" x14ac:dyDescent="0.2">
      <c r="A35" s="37">
        <v>9</v>
      </c>
      <c r="B35" s="38">
        <v>8980.3657737080557</v>
      </c>
      <c r="C35" s="39">
        <v>5467750746591.4639</v>
      </c>
      <c r="D35" s="39">
        <v>8805078661477562</v>
      </c>
      <c r="E35" s="39">
        <v>4.0297323002379088E+16</v>
      </c>
      <c r="F35" s="39">
        <v>19</v>
      </c>
      <c r="G35" s="39">
        <v>1.0000000000000011E-11</v>
      </c>
      <c r="H35" s="66">
        <f t="shared" si="2"/>
        <v>1467.0189018315591</v>
      </c>
      <c r="I35" s="40">
        <f t="shared" si="0"/>
        <v>7513.3468718869335</v>
      </c>
      <c r="J35" s="18"/>
      <c r="K35" s="18"/>
      <c r="L35" s="18"/>
      <c r="M35" s="18"/>
      <c r="N35" s="7"/>
    </row>
    <row r="36" spans="1:14" x14ac:dyDescent="0.2">
      <c r="A36" s="37">
        <v>10</v>
      </c>
      <c r="B36" s="38">
        <v>8980.3657737185094</v>
      </c>
      <c r="C36" s="39">
        <v>5467750746555.916</v>
      </c>
      <c r="D36" s="39">
        <v>8805078661477475</v>
      </c>
      <c r="E36" s="39">
        <v>4.0297323002117104E+16</v>
      </c>
      <c r="F36" s="39">
        <v>19</v>
      </c>
      <c r="G36" s="39">
        <v>1.0000000000000011E-11</v>
      </c>
      <c r="H36" s="66">
        <f t="shared" si="2"/>
        <v>1650.2712645605088</v>
      </c>
      <c r="I36" s="40">
        <f t="shared" si="0"/>
        <v>7330.0945091579842</v>
      </c>
      <c r="J36" s="18"/>
      <c r="K36" s="18"/>
      <c r="L36" s="18"/>
      <c r="M36" s="18"/>
      <c r="N36" s="7"/>
    </row>
    <row r="37" spans="1:14" x14ac:dyDescent="0.2">
      <c r="A37" s="37">
        <v>11</v>
      </c>
      <c r="B37" s="38">
        <v>8980.3657737185094</v>
      </c>
      <c r="C37" s="39">
        <v>5467750746555.916</v>
      </c>
      <c r="D37" s="39">
        <v>8805078661477475</v>
      </c>
      <c r="E37" s="39">
        <v>4.0297323002117104E+16</v>
      </c>
      <c r="F37" s="39">
        <v>18</v>
      </c>
      <c r="G37" s="39">
        <v>1.0000000000000011E-11</v>
      </c>
      <c r="H37" s="66">
        <f t="shared" si="2"/>
        <v>1833.5236272894585</v>
      </c>
      <c r="I37" s="40">
        <f t="shared" si="0"/>
        <v>7146.842146429035</v>
      </c>
      <c r="J37" s="18"/>
      <c r="K37" s="18"/>
      <c r="L37" s="18"/>
      <c r="M37" s="18"/>
      <c r="N37" s="7"/>
    </row>
    <row r="38" spans="1:14" x14ac:dyDescent="0.2">
      <c r="A38" s="37">
        <v>12</v>
      </c>
      <c r="B38" s="38">
        <v>8980.3657737184913</v>
      </c>
      <c r="C38" s="39">
        <v>5467750746556.0322</v>
      </c>
      <c r="D38" s="39">
        <v>8805078661477563</v>
      </c>
      <c r="E38" s="39">
        <v>4.029732300211796E+16</v>
      </c>
      <c r="F38" s="39">
        <v>17</v>
      </c>
      <c r="G38" s="39">
        <v>1.0000000000000011E-11</v>
      </c>
      <c r="H38" s="66">
        <f t="shared" si="2"/>
        <v>2016.7759900184083</v>
      </c>
      <c r="I38" s="40">
        <f t="shared" si="0"/>
        <v>6963.5897837000848</v>
      </c>
      <c r="J38" s="18"/>
      <c r="K38" s="18"/>
      <c r="L38" s="18"/>
      <c r="M38" s="18"/>
      <c r="N38" s="7"/>
    </row>
    <row r="39" spans="1:14" x14ac:dyDescent="0.2">
      <c r="A39" s="37">
        <v>13</v>
      </c>
      <c r="B39" s="38">
        <v>8980.3657736964196</v>
      </c>
      <c r="C39" s="39">
        <v>5467750746630.9365</v>
      </c>
      <c r="D39" s="39">
        <v>8805078661477504</v>
      </c>
      <c r="E39" s="39">
        <v>4.029732300267E+16</v>
      </c>
      <c r="F39" s="39">
        <v>16</v>
      </c>
      <c r="G39" s="39">
        <v>1.0000000000000011E-11</v>
      </c>
      <c r="H39" s="66">
        <f t="shared" si="2"/>
        <v>2200.028352747358</v>
      </c>
      <c r="I39" s="40">
        <f t="shared" si="0"/>
        <v>6780.3374209711346</v>
      </c>
      <c r="J39" s="18"/>
      <c r="K39" s="18"/>
      <c r="L39" s="18"/>
      <c r="M39" s="18"/>
      <c r="N39" s="7"/>
    </row>
    <row r="40" spans="1:14" x14ac:dyDescent="0.2">
      <c r="A40" s="37">
        <v>14</v>
      </c>
      <c r="B40" s="38">
        <v>8980.3657737185076</v>
      </c>
      <c r="C40" s="39">
        <v>5467750746555.916</v>
      </c>
      <c r="D40" s="39">
        <v>8805078661477465</v>
      </c>
      <c r="E40" s="39">
        <v>4.0297323002117104E+16</v>
      </c>
      <c r="F40" s="39">
        <v>16</v>
      </c>
      <c r="G40" s="39">
        <v>1.0000000000000011E-11</v>
      </c>
      <c r="H40" s="66">
        <f t="shared" si="2"/>
        <v>2383.2807154763077</v>
      </c>
      <c r="I40" s="40">
        <f t="shared" si="0"/>
        <v>6597.0850582421854</v>
      </c>
      <c r="J40" s="18"/>
      <c r="K40" s="18"/>
      <c r="L40" s="18"/>
      <c r="M40" s="18"/>
      <c r="N40" s="7"/>
    </row>
    <row r="41" spans="1:14" x14ac:dyDescent="0.2">
      <c r="A41" s="37">
        <v>15</v>
      </c>
      <c r="B41" s="38">
        <v>8980.3657737167305</v>
      </c>
      <c r="C41" s="39">
        <v>5467750746561.9766</v>
      </c>
      <c r="D41" s="39">
        <v>8805078661477508</v>
      </c>
      <c r="E41" s="39">
        <v>4.0297323002161768E+16</v>
      </c>
      <c r="F41" s="39">
        <v>15</v>
      </c>
      <c r="G41" s="39">
        <v>1.0000000000000011E-11</v>
      </c>
      <c r="H41" s="66">
        <f t="shared" si="2"/>
        <v>2566.5330782052574</v>
      </c>
      <c r="I41" s="40">
        <f t="shared" si="0"/>
        <v>6413.8326955132361</v>
      </c>
      <c r="J41" s="18"/>
      <c r="K41" s="18"/>
      <c r="L41" s="18"/>
      <c r="M41" s="18"/>
      <c r="N41" s="7"/>
    </row>
    <row r="42" spans="1:14" x14ac:dyDescent="0.2">
      <c r="A42" s="37">
        <v>16</v>
      </c>
      <c r="B42" s="38">
        <v>8980.3657737185094</v>
      </c>
      <c r="C42" s="39">
        <v>5467750746555.916</v>
      </c>
      <c r="D42" s="39">
        <v>8805078661477475</v>
      </c>
      <c r="E42" s="39">
        <v>4.0297323002117104E+16</v>
      </c>
      <c r="F42" s="39">
        <v>15</v>
      </c>
      <c r="G42" s="39">
        <v>1.0000000000000011E-11</v>
      </c>
      <c r="H42" s="66">
        <f t="shared" si="2"/>
        <v>2749.7854409342071</v>
      </c>
      <c r="I42" s="40">
        <f t="shared" si="0"/>
        <v>6230.5803327842859</v>
      </c>
      <c r="J42" s="18"/>
      <c r="K42" s="18"/>
      <c r="L42" s="18"/>
      <c r="M42" s="18"/>
      <c r="N42" s="7"/>
    </row>
    <row r="43" spans="1:14" x14ac:dyDescent="0.2">
      <c r="A43" s="37">
        <v>17</v>
      </c>
      <c r="B43" s="38">
        <v>8980.3657737166086</v>
      </c>
      <c r="C43" s="39">
        <v>5467750746562.4043</v>
      </c>
      <c r="D43" s="39">
        <v>8805078661477531</v>
      </c>
      <c r="E43" s="39">
        <v>4.029732300216492E+16</v>
      </c>
      <c r="F43" s="39">
        <v>14</v>
      </c>
      <c r="G43" s="39">
        <v>1.0000000000000011E-11</v>
      </c>
      <c r="H43" s="66">
        <f t="shared" si="2"/>
        <v>2933.0378036631569</v>
      </c>
      <c r="I43" s="40">
        <f t="shared" si="0"/>
        <v>6047.3279700553358</v>
      </c>
      <c r="J43" s="18"/>
      <c r="K43" s="18"/>
      <c r="L43" s="18"/>
      <c r="M43" s="18"/>
      <c r="N43" s="7"/>
    </row>
    <row r="44" spans="1:14" x14ac:dyDescent="0.2">
      <c r="A44" s="37">
        <v>18</v>
      </c>
      <c r="B44" s="38">
        <v>8980.3657737185076</v>
      </c>
      <c r="C44" s="39">
        <v>5467750746555.916</v>
      </c>
      <c r="D44" s="39">
        <v>8805078661477465</v>
      </c>
      <c r="E44" s="39">
        <v>4.0297323002117104E+16</v>
      </c>
      <c r="F44" s="39">
        <v>14</v>
      </c>
      <c r="G44" s="39">
        <v>1.0000000000000011E-11</v>
      </c>
      <c r="H44" s="66">
        <f t="shared" si="2"/>
        <v>3116.2901663921066</v>
      </c>
      <c r="I44" s="40">
        <f t="shared" si="0"/>
        <v>5864.0756073263865</v>
      </c>
      <c r="J44" s="18"/>
      <c r="K44" s="18"/>
      <c r="L44" s="18"/>
      <c r="M44" s="18"/>
      <c r="N44" s="7"/>
    </row>
    <row r="45" spans="1:14" x14ac:dyDescent="0.2">
      <c r="A45" s="37">
        <v>19</v>
      </c>
      <c r="B45" s="38">
        <v>8980.3657737040066</v>
      </c>
      <c r="C45" s="39">
        <v>5467750746605.2168</v>
      </c>
      <c r="D45" s="39">
        <v>8805078661477570</v>
      </c>
      <c r="E45" s="39">
        <v>4.0297323002480448E+16</v>
      </c>
      <c r="F45" s="39">
        <v>13</v>
      </c>
      <c r="G45" s="39">
        <v>1.0000000000000011E-11</v>
      </c>
      <c r="H45" s="66">
        <f t="shared" si="2"/>
        <v>3299.5425291210563</v>
      </c>
      <c r="I45" s="40">
        <f t="shared" si="0"/>
        <v>5680.8232445974372</v>
      </c>
      <c r="J45" s="18"/>
      <c r="K45" s="18"/>
      <c r="L45" s="18"/>
      <c r="M45" s="18"/>
      <c r="N45" s="7"/>
    </row>
    <row r="46" spans="1:14" x14ac:dyDescent="0.2">
      <c r="A46" s="37">
        <v>20</v>
      </c>
      <c r="B46" s="38">
        <v>8980.3657737185058</v>
      </c>
      <c r="C46" s="39">
        <v>5467750746555.9551</v>
      </c>
      <c r="D46" s="39">
        <v>8805078661477518</v>
      </c>
      <c r="E46" s="39">
        <v>4.0297323002117392E+16</v>
      </c>
      <c r="F46" s="39">
        <v>13</v>
      </c>
      <c r="G46" s="39">
        <v>1.0000000000000011E-11</v>
      </c>
      <c r="H46" s="66">
        <f t="shared" si="2"/>
        <v>3482.794891850006</v>
      </c>
      <c r="I46" s="40">
        <f t="shared" si="0"/>
        <v>5497.570881868487</v>
      </c>
      <c r="J46" s="18"/>
      <c r="K46" s="18"/>
      <c r="L46" s="18"/>
      <c r="M46" s="18"/>
      <c r="N46" s="7"/>
    </row>
    <row r="47" spans="1:14" x14ac:dyDescent="0.2">
      <c r="A47" s="37">
        <v>21</v>
      </c>
      <c r="B47" s="38">
        <v>8980.3657737185094</v>
      </c>
      <c r="C47" s="39">
        <v>5467750746555.916</v>
      </c>
      <c r="D47" s="39">
        <v>8805078661477475</v>
      </c>
      <c r="E47" s="39">
        <v>4.0297323002117104E+16</v>
      </c>
      <c r="F47" s="39">
        <v>13</v>
      </c>
      <c r="G47" s="39">
        <v>1.0000000000000011E-11</v>
      </c>
      <c r="H47" s="66">
        <f t="shared" si="2"/>
        <v>3666.0472545789557</v>
      </c>
      <c r="I47" s="40">
        <f t="shared" si="0"/>
        <v>5314.3185191395369</v>
      </c>
      <c r="J47" s="18"/>
      <c r="K47" s="18"/>
      <c r="L47" s="18"/>
      <c r="M47" s="18"/>
      <c r="N47" s="7"/>
    </row>
    <row r="48" spans="1:14" x14ac:dyDescent="0.2">
      <c r="A48" s="37">
        <v>22</v>
      </c>
      <c r="B48" s="38">
        <v>8980.3657737180074</v>
      </c>
      <c r="C48" s="39">
        <v>5467750746557.6641</v>
      </c>
      <c r="D48" s="39">
        <v>8805078661477545</v>
      </c>
      <c r="E48" s="39">
        <v>4.0297323002129984E+16</v>
      </c>
      <c r="F48" s="39">
        <v>12</v>
      </c>
      <c r="G48" s="39">
        <v>1.0000000000000011E-11</v>
      </c>
      <c r="H48" s="66">
        <f t="shared" si="2"/>
        <v>3849.2996173079055</v>
      </c>
      <c r="I48" s="40">
        <f t="shared" si="0"/>
        <v>5131.0661564105876</v>
      </c>
      <c r="J48" s="18"/>
      <c r="K48" s="18"/>
      <c r="L48" s="18"/>
      <c r="M48" s="18"/>
      <c r="N48" s="7"/>
    </row>
    <row r="49" spans="1:14" x14ac:dyDescent="0.2">
      <c r="A49" s="37">
        <v>23</v>
      </c>
      <c r="B49" s="38">
        <v>8980.3657737185094</v>
      </c>
      <c r="C49" s="39">
        <v>5467750746555.916</v>
      </c>
      <c r="D49" s="39">
        <v>8805078661477475</v>
      </c>
      <c r="E49" s="39">
        <v>4.0297323002117104E+16</v>
      </c>
      <c r="F49" s="39">
        <v>12</v>
      </c>
      <c r="G49" s="39">
        <v>1.0000000000000011E-11</v>
      </c>
      <c r="H49" s="66">
        <f>H50-$H$25</f>
        <v>4032.5519800368552</v>
      </c>
      <c r="I49" s="40">
        <f t="shared" si="0"/>
        <v>4947.8137936816383</v>
      </c>
      <c r="J49" s="18"/>
      <c r="K49" s="18"/>
      <c r="L49" s="18"/>
      <c r="M49" s="18"/>
      <c r="N49" s="7"/>
    </row>
    <row r="50" spans="1:14" x14ac:dyDescent="0.2">
      <c r="A50" s="37">
        <v>24</v>
      </c>
      <c r="B50" s="38">
        <v>8980.3657737185094</v>
      </c>
      <c r="C50" s="39">
        <v>5467750746555.916</v>
      </c>
      <c r="D50" s="39">
        <v>8805078661477475</v>
      </c>
      <c r="E50" s="39">
        <v>4.0297323002117104E+16</v>
      </c>
      <c r="F50" s="39">
        <v>12</v>
      </c>
      <c r="G50" s="39">
        <v>1.0000000000000011E-11</v>
      </c>
      <c r="H50" s="66">
        <f t="shared" si="2"/>
        <v>4215.8043427658049</v>
      </c>
      <c r="I50" s="40">
        <f>ABS(H50-$B$22)</f>
        <v>4764.5614309526882</v>
      </c>
      <c r="J50" s="18"/>
      <c r="K50" s="18"/>
      <c r="L50" s="18"/>
      <c r="M50" s="18"/>
      <c r="N50" s="7"/>
    </row>
    <row r="51" spans="1:14" x14ac:dyDescent="0.2">
      <c r="A51" s="37">
        <v>25</v>
      </c>
      <c r="B51" s="38">
        <v>8980.3657737183003</v>
      </c>
      <c r="C51" s="39">
        <v>5467750746556.6543</v>
      </c>
      <c r="D51" s="39">
        <v>8805078661477520</v>
      </c>
      <c r="E51" s="39">
        <v>4.0297323002122544E+16</v>
      </c>
      <c r="F51" s="39">
        <v>11</v>
      </c>
      <c r="G51" s="39">
        <v>1.0000000000000011E-11</v>
      </c>
      <c r="H51" s="66">
        <f t="shared" si="2"/>
        <v>4399.0567054947551</v>
      </c>
      <c r="I51" s="40">
        <f t="shared" si="0"/>
        <v>4581.309068223738</v>
      </c>
      <c r="J51" s="18"/>
      <c r="K51" s="18"/>
      <c r="L51" s="18"/>
      <c r="M51" s="18"/>
      <c r="N51" s="7"/>
    </row>
    <row r="52" spans="1:14" x14ac:dyDescent="0.2">
      <c r="A52" s="37">
        <v>26</v>
      </c>
      <c r="B52" s="38">
        <v>8980.3657737185076</v>
      </c>
      <c r="C52" s="39">
        <v>5467750746555.916</v>
      </c>
      <c r="D52" s="39">
        <v>8805078661477465</v>
      </c>
      <c r="E52" s="39">
        <v>4.0297323002117104E+16</v>
      </c>
      <c r="F52" s="39">
        <v>11</v>
      </c>
      <c r="G52" s="39">
        <v>1.0000000000000011E-11</v>
      </c>
      <c r="H52" s="66">
        <f t="shared" si="2"/>
        <v>4582.3090682237053</v>
      </c>
      <c r="I52" s="40">
        <f t="shared" si="0"/>
        <v>4398.0567054947878</v>
      </c>
      <c r="J52" s="18"/>
      <c r="K52" s="18"/>
      <c r="L52" s="18"/>
      <c r="M52" s="18"/>
      <c r="N52" s="7"/>
    </row>
    <row r="53" spans="1:14" x14ac:dyDescent="0.2">
      <c r="A53" s="37">
        <v>27</v>
      </c>
      <c r="B53" s="38">
        <v>8980.3657737185094</v>
      </c>
      <c r="C53" s="39">
        <v>5467750746555.916</v>
      </c>
      <c r="D53" s="39">
        <v>8805078661477475</v>
      </c>
      <c r="E53" s="39">
        <v>4.0297323002117104E+16</v>
      </c>
      <c r="F53" s="39">
        <v>11</v>
      </c>
      <c r="G53" s="39">
        <v>1.0000000000000011E-11</v>
      </c>
      <c r="H53" s="66">
        <f t="shared" si="2"/>
        <v>4765.5614309526554</v>
      </c>
      <c r="I53" s="40">
        <f t="shared" si="0"/>
        <v>4214.8043427658376</v>
      </c>
      <c r="J53" s="18"/>
      <c r="K53" s="18"/>
      <c r="L53" s="18"/>
      <c r="M53" s="18"/>
      <c r="N53" s="7"/>
    </row>
    <row r="54" spans="1:14" x14ac:dyDescent="0.2">
      <c r="A54" s="37">
        <v>28</v>
      </c>
      <c r="B54" s="38">
        <v>8980.3657737178746</v>
      </c>
      <c r="C54" s="39">
        <v>5467750746558.0918</v>
      </c>
      <c r="D54" s="39">
        <v>8805078661477508</v>
      </c>
      <c r="E54" s="39">
        <v>4.0297323002133136E+16</v>
      </c>
      <c r="F54" s="39">
        <v>10</v>
      </c>
      <c r="G54" s="39">
        <v>1.0000000000000011E-11</v>
      </c>
      <c r="H54" s="66">
        <f t="shared" si="2"/>
        <v>4948.8137936816056</v>
      </c>
      <c r="I54" s="40">
        <f t="shared" si="0"/>
        <v>4031.5519800368875</v>
      </c>
      <c r="J54" s="18"/>
      <c r="K54" s="18"/>
      <c r="L54" s="18"/>
      <c r="M54" s="18"/>
      <c r="N54" s="7"/>
    </row>
    <row r="55" spans="1:14" ht="12.75" customHeight="1" x14ac:dyDescent="0.2">
      <c r="A55" s="37">
        <v>29</v>
      </c>
      <c r="B55" s="38">
        <v>8980.3657737185076</v>
      </c>
      <c r="C55" s="39">
        <v>5467750746555.916</v>
      </c>
      <c r="D55" s="39">
        <v>8805078661477465</v>
      </c>
      <c r="E55" s="39">
        <v>4.0297323002117104E+16</v>
      </c>
      <c r="F55" s="39">
        <v>10</v>
      </c>
      <c r="G55" s="39">
        <v>1.0000000000000011E-11</v>
      </c>
      <c r="H55" s="66">
        <f t="shared" si="2"/>
        <v>5132.0661564105558</v>
      </c>
      <c r="I55" s="40">
        <f t="shared" si="0"/>
        <v>3848.2996173079373</v>
      </c>
      <c r="J55" s="18"/>
      <c r="K55" s="18"/>
      <c r="L55" s="18"/>
      <c r="M55" s="18"/>
      <c r="N55" s="7"/>
    </row>
    <row r="56" spans="1:14" ht="12.75" customHeight="1" x14ac:dyDescent="0.2">
      <c r="A56" s="37">
        <v>30</v>
      </c>
      <c r="B56" s="38">
        <v>8980.3657737185094</v>
      </c>
      <c r="C56" s="39">
        <v>5467750746555.916</v>
      </c>
      <c r="D56" s="39">
        <v>8805078661477475</v>
      </c>
      <c r="E56" s="39">
        <v>4.0297323002117104E+16</v>
      </c>
      <c r="F56" s="39">
        <v>10</v>
      </c>
      <c r="G56" s="39">
        <v>1.0000000000000011E-11</v>
      </c>
      <c r="H56" s="66">
        <f t="shared" si="2"/>
        <v>5315.318519139506</v>
      </c>
      <c r="I56" s="40">
        <f t="shared" si="0"/>
        <v>3665.0472545789871</v>
      </c>
      <c r="J56" s="18"/>
      <c r="K56" s="18"/>
      <c r="L56" s="18"/>
      <c r="M56" s="18"/>
      <c r="N56" s="7"/>
    </row>
    <row r="57" spans="1:14" ht="12.75" customHeight="1" x14ac:dyDescent="0.2">
      <c r="A57" s="37">
        <v>31</v>
      </c>
      <c r="B57" s="38">
        <v>8980.3657737113608</v>
      </c>
      <c r="C57" s="39">
        <v>5467750746580.1982</v>
      </c>
      <c r="D57" s="39">
        <v>8805078661477492</v>
      </c>
      <c r="E57" s="39">
        <v>4.0297323002296064E+16</v>
      </c>
      <c r="F57" s="39">
        <v>9</v>
      </c>
      <c r="G57" s="39">
        <v>1.0000000000000011E-11</v>
      </c>
      <c r="H57" s="66">
        <f t="shared" si="2"/>
        <v>5498.5708818684561</v>
      </c>
      <c r="I57" s="40">
        <f t="shared" si="0"/>
        <v>3481.7948918500369</v>
      </c>
      <c r="J57" s="18"/>
      <c r="K57" s="18"/>
      <c r="L57" s="18"/>
      <c r="M57" s="18"/>
      <c r="N57" s="7"/>
    </row>
    <row r="58" spans="1:14" ht="12.75" customHeight="1" x14ac:dyDescent="0.2">
      <c r="A58" s="37">
        <v>32</v>
      </c>
      <c r="B58" s="38">
        <v>8980.3657737184803</v>
      </c>
      <c r="C58" s="39">
        <v>5467750746556.0322</v>
      </c>
      <c r="D58" s="39">
        <v>8805078661477503</v>
      </c>
      <c r="E58" s="39">
        <v>4.029732300211796E+16</v>
      </c>
      <c r="F58" s="39">
        <v>9</v>
      </c>
      <c r="G58" s="39">
        <v>1.0000000000000011E-11</v>
      </c>
      <c r="H58" s="66">
        <f t="shared" si="2"/>
        <v>5681.8232445974063</v>
      </c>
      <c r="I58" s="40">
        <f t="shared" si="0"/>
        <v>3298.5425291210868</v>
      </c>
      <c r="J58" s="18"/>
      <c r="K58" s="18"/>
      <c r="L58" s="18"/>
      <c r="M58" s="18"/>
      <c r="N58" s="7"/>
    </row>
    <row r="59" spans="1:14" ht="12.75" customHeight="1" x14ac:dyDescent="0.2">
      <c r="A59" s="37">
        <v>33</v>
      </c>
      <c r="B59" s="38">
        <v>8980.3657737185076</v>
      </c>
      <c r="C59" s="39">
        <v>5467750746555.916</v>
      </c>
      <c r="D59" s="39">
        <v>8805078661477465</v>
      </c>
      <c r="E59" s="39">
        <v>4.0297323002117104E+16</v>
      </c>
      <c r="F59" s="39">
        <v>9</v>
      </c>
      <c r="G59" s="39">
        <v>1.0000000000000011E-11</v>
      </c>
      <c r="H59" s="66">
        <f t="shared" si="2"/>
        <v>5865.0756073263565</v>
      </c>
      <c r="I59" s="40">
        <f t="shared" si="0"/>
        <v>3115.2901663921366</v>
      </c>
      <c r="J59" s="18"/>
      <c r="K59" s="18"/>
      <c r="L59" s="18"/>
      <c r="M59" s="18"/>
      <c r="N59" s="7"/>
    </row>
    <row r="60" spans="1:14" ht="12.75" customHeight="1" x14ac:dyDescent="0.2">
      <c r="A60" s="37">
        <v>34</v>
      </c>
      <c r="B60" s="38">
        <v>8980.3657737185094</v>
      </c>
      <c r="C60" s="39">
        <v>5467750746555.916</v>
      </c>
      <c r="D60" s="39">
        <v>8805078661477475</v>
      </c>
      <c r="E60" s="39">
        <v>4.0297323002117104E+16</v>
      </c>
      <c r="F60" s="39">
        <v>9</v>
      </c>
      <c r="G60" s="39">
        <v>1.0000000000000011E-11</v>
      </c>
      <c r="H60" s="66">
        <f t="shared" si="2"/>
        <v>6048.3279700553067</v>
      </c>
      <c r="I60" s="40">
        <f t="shared" si="0"/>
        <v>2932.0378036631864</v>
      </c>
      <c r="J60" s="18"/>
      <c r="K60" s="18"/>
      <c r="L60" s="18"/>
      <c r="M60" s="18"/>
      <c r="N60" s="7"/>
    </row>
    <row r="61" spans="1:14" ht="12.75" customHeight="1" x14ac:dyDescent="0.2">
      <c r="A61" s="37">
        <v>35</v>
      </c>
      <c r="B61" s="38">
        <v>8980.3657737170251</v>
      </c>
      <c r="C61" s="39">
        <v>5467750746560.9668</v>
      </c>
      <c r="D61" s="39">
        <v>8805078661477493</v>
      </c>
      <c r="E61" s="39">
        <v>4.0297323002154328E+16</v>
      </c>
      <c r="F61" s="39">
        <v>8</v>
      </c>
      <c r="G61" s="39">
        <v>1.0000000000000011E-11</v>
      </c>
      <c r="H61" s="66">
        <f t="shared" si="2"/>
        <v>6231.5803327842568</v>
      </c>
      <c r="I61" s="40">
        <f t="shared" si="0"/>
        <v>2748.7854409342362</v>
      </c>
      <c r="J61" s="18"/>
      <c r="K61" s="18"/>
      <c r="L61" s="18"/>
      <c r="M61" s="18"/>
      <c r="N61" s="7"/>
    </row>
    <row r="62" spans="1:14" ht="12.75" customHeight="1" x14ac:dyDescent="0.2">
      <c r="A62" s="37">
        <v>36</v>
      </c>
      <c r="B62" s="38">
        <v>8980.365773718504</v>
      </c>
      <c r="C62" s="39">
        <v>5467750746555.9551</v>
      </c>
      <c r="D62" s="39">
        <v>8805078661477508</v>
      </c>
      <c r="E62" s="39">
        <v>4.0297323002117392E+16</v>
      </c>
      <c r="F62" s="39">
        <v>8</v>
      </c>
      <c r="G62" s="39">
        <v>1.0000000000000011E-11</v>
      </c>
      <c r="H62" s="66">
        <f t="shared" si="2"/>
        <v>6414.832695513207</v>
      </c>
      <c r="I62" s="40">
        <f t="shared" si="0"/>
        <v>2565.5330782052861</v>
      </c>
      <c r="J62" s="18"/>
      <c r="K62" s="18"/>
      <c r="L62" s="18"/>
      <c r="M62" s="18"/>
      <c r="N62" s="7"/>
    </row>
    <row r="63" spans="1:14" ht="12.75" customHeight="1" x14ac:dyDescent="0.2">
      <c r="A63" s="37">
        <v>37</v>
      </c>
      <c r="B63" s="38">
        <v>8980.3657737185094</v>
      </c>
      <c r="C63" s="39">
        <v>5467750746555.916</v>
      </c>
      <c r="D63" s="39">
        <v>8805078661477475</v>
      </c>
      <c r="E63" s="39">
        <v>4.0297323002117104E+16</v>
      </c>
      <c r="F63" s="39">
        <v>8</v>
      </c>
      <c r="G63" s="39">
        <v>1.0000000000000011E-11</v>
      </c>
      <c r="H63" s="66">
        <f t="shared" si="2"/>
        <v>6598.0850582421572</v>
      </c>
      <c r="I63" s="40">
        <f t="shared" si="0"/>
        <v>2382.2807154763359</v>
      </c>
      <c r="J63" s="18"/>
      <c r="K63" s="18"/>
      <c r="L63" s="18"/>
      <c r="M63" s="18"/>
      <c r="N63" s="7"/>
    </row>
    <row r="64" spans="1:14" ht="12.75" customHeight="1" x14ac:dyDescent="0.2">
      <c r="A64" s="37">
        <v>38</v>
      </c>
      <c r="B64" s="38">
        <v>8980.3657737185094</v>
      </c>
      <c r="C64" s="39">
        <v>5467750746555.916</v>
      </c>
      <c r="D64" s="39">
        <v>8805078661477475</v>
      </c>
      <c r="E64" s="39">
        <v>4.0297323002117104E+16</v>
      </c>
      <c r="F64" s="39">
        <v>8</v>
      </c>
      <c r="G64" s="39">
        <v>1.0000000000000011E-11</v>
      </c>
      <c r="H64" s="66">
        <f t="shared" si="2"/>
        <v>6781.3374209711073</v>
      </c>
      <c r="I64" s="40">
        <f t="shared" si="0"/>
        <v>2199.0283527473857</v>
      </c>
      <c r="J64" s="18"/>
      <c r="K64" s="18"/>
      <c r="L64" s="18"/>
      <c r="M64" s="18"/>
      <c r="N64" s="7"/>
    </row>
    <row r="65" spans="1:14" ht="12.75" customHeight="1" x14ac:dyDescent="0.2">
      <c r="A65" s="37">
        <v>39</v>
      </c>
      <c r="B65" s="38">
        <v>8980.3657737178255</v>
      </c>
      <c r="C65" s="39">
        <v>5467750746558.2471</v>
      </c>
      <c r="D65" s="39">
        <v>8805078661477490</v>
      </c>
      <c r="E65" s="39">
        <v>4.029732300213428E+16</v>
      </c>
      <c r="F65" s="39">
        <v>7</v>
      </c>
      <c r="G65" s="39">
        <v>1.0000000000000011E-11</v>
      </c>
      <c r="H65" s="66">
        <f t="shared" si="2"/>
        <v>6964.5897837000575</v>
      </c>
      <c r="I65" s="40">
        <f t="shared" si="0"/>
        <v>2015.7759900184356</v>
      </c>
      <c r="J65" s="18"/>
      <c r="K65" s="18"/>
      <c r="L65" s="18"/>
      <c r="M65" s="18"/>
      <c r="N65" s="7"/>
    </row>
    <row r="66" spans="1:14" ht="13.5" customHeight="1" x14ac:dyDescent="0.2">
      <c r="A66" s="37">
        <v>40</v>
      </c>
      <c r="B66" s="38">
        <v>8980.3657737185058</v>
      </c>
      <c r="C66" s="39">
        <v>5467750746555.9551</v>
      </c>
      <c r="D66" s="39">
        <v>8805078661477518</v>
      </c>
      <c r="E66" s="39">
        <v>4.0297323002117392E+16</v>
      </c>
      <c r="F66" s="39">
        <v>7</v>
      </c>
      <c r="G66" s="39">
        <v>1.0000000000000011E-11</v>
      </c>
      <c r="H66" s="66">
        <f t="shared" si="2"/>
        <v>7147.8421464290077</v>
      </c>
      <c r="I66" s="40">
        <f t="shared" si="0"/>
        <v>1832.5236272894854</v>
      </c>
      <c r="J66" s="18"/>
      <c r="K66" s="18"/>
      <c r="L66" s="18"/>
      <c r="M66" s="18"/>
      <c r="N66" s="7"/>
    </row>
    <row r="67" spans="1:14" ht="12.75" customHeight="1" x14ac:dyDescent="0.2">
      <c r="A67" s="37">
        <v>41</v>
      </c>
      <c r="B67" s="38">
        <v>8980.3657737185094</v>
      </c>
      <c r="C67" s="39">
        <v>5467750746555.916</v>
      </c>
      <c r="D67" s="39">
        <v>8805078661477475</v>
      </c>
      <c r="E67" s="39">
        <v>4.0297323002117104E+16</v>
      </c>
      <c r="F67" s="39">
        <v>7</v>
      </c>
      <c r="G67" s="39">
        <v>1.0000000000000011E-11</v>
      </c>
      <c r="H67" s="66">
        <f t="shared" si="2"/>
        <v>7331.0945091579579</v>
      </c>
      <c r="I67" s="40">
        <f t="shared" si="0"/>
        <v>1649.2712645605352</v>
      </c>
      <c r="J67" s="18"/>
      <c r="K67" s="18"/>
      <c r="L67" s="18"/>
      <c r="M67" s="18"/>
      <c r="N67" s="7"/>
    </row>
    <row r="68" spans="1:14" ht="12.75" customHeight="1" x14ac:dyDescent="0.2">
      <c r="A68" s="37">
        <v>42</v>
      </c>
      <c r="B68" s="38">
        <v>8980.3657736849418</v>
      </c>
      <c r="C68" s="39">
        <v>5467750746669.9424</v>
      </c>
      <c r="D68" s="39">
        <v>8805078661477560</v>
      </c>
      <c r="E68" s="39">
        <v>4.0297323002957472E+16</v>
      </c>
      <c r="F68" s="39">
        <v>6</v>
      </c>
      <c r="G68" s="39">
        <v>1.0000000000000011E-11</v>
      </c>
      <c r="H68" s="66">
        <f t="shared" si="2"/>
        <v>7514.346871886908</v>
      </c>
      <c r="I68" s="40">
        <f t="shared" si="0"/>
        <v>1466.018901831585</v>
      </c>
      <c r="J68" s="18"/>
      <c r="K68" s="18"/>
      <c r="L68" s="18"/>
      <c r="M68" s="18"/>
      <c r="N68" s="7"/>
    </row>
    <row r="69" spans="1:14" ht="12.75" customHeight="1" x14ac:dyDescent="0.2">
      <c r="A69" s="37">
        <v>43</v>
      </c>
      <c r="B69" s="38">
        <v>8980.3657737182966</v>
      </c>
      <c r="C69" s="39">
        <v>5467750746556.6543</v>
      </c>
      <c r="D69" s="39">
        <v>8805078661477501</v>
      </c>
      <c r="E69" s="39">
        <v>4.0297323002122544E+16</v>
      </c>
      <c r="F69" s="39">
        <v>6</v>
      </c>
      <c r="G69" s="39">
        <v>1.0000000000000011E-11</v>
      </c>
      <c r="H69" s="66">
        <f t="shared" si="2"/>
        <v>7697.5992346158582</v>
      </c>
      <c r="I69" s="40">
        <f t="shared" si="0"/>
        <v>1282.7665391026349</v>
      </c>
      <c r="J69" s="18"/>
      <c r="K69" s="18"/>
      <c r="L69" s="18"/>
      <c r="M69" s="18"/>
      <c r="N69" s="7"/>
    </row>
    <row r="70" spans="1:14" ht="12.75" customHeight="1" x14ac:dyDescent="0.2">
      <c r="A70" s="37">
        <v>44</v>
      </c>
      <c r="B70" s="38">
        <v>8980.3657737185094</v>
      </c>
      <c r="C70" s="39">
        <v>5467750746555.916</v>
      </c>
      <c r="D70" s="39">
        <v>8805078661477475</v>
      </c>
      <c r="E70" s="39">
        <v>4.0297323002117104E+16</v>
      </c>
      <c r="F70" s="39">
        <v>6</v>
      </c>
      <c r="G70" s="39">
        <v>1.0000000000000011E-11</v>
      </c>
      <c r="H70" s="66">
        <f t="shared" si="2"/>
        <v>7880.8515973448084</v>
      </c>
      <c r="I70" s="40">
        <f t="shared" si="0"/>
        <v>1099.5141763736847</v>
      </c>
      <c r="J70" s="18"/>
      <c r="K70" s="18"/>
      <c r="L70" s="18"/>
      <c r="M70" s="18"/>
      <c r="N70" s="7"/>
    </row>
    <row r="71" spans="1:14" ht="12.75" customHeight="1" x14ac:dyDescent="0.2">
      <c r="A71" s="37">
        <v>45</v>
      </c>
      <c r="B71" s="38">
        <v>8980.3657737185076</v>
      </c>
      <c r="C71" s="39">
        <v>5467750746555.916</v>
      </c>
      <c r="D71" s="39">
        <v>8805078661477465</v>
      </c>
      <c r="E71" s="39">
        <v>4.0297323002117104E+16</v>
      </c>
      <c r="F71" s="39">
        <v>6</v>
      </c>
      <c r="G71" s="39">
        <v>1.0000000000000011E-11</v>
      </c>
      <c r="H71" s="66">
        <f t="shared" si="2"/>
        <v>8064.1039600737586</v>
      </c>
      <c r="I71" s="40">
        <f t="shared" si="0"/>
        <v>916.2618136447345</v>
      </c>
      <c r="J71" s="18"/>
      <c r="K71" s="18"/>
      <c r="L71" s="18"/>
      <c r="M71" s="18"/>
      <c r="N71" s="7"/>
    </row>
    <row r="72" spans="1:14" ht="12.75" customHeight="1" x14ac:dyDescent="0.2">
      <c r="A72" s="37">
        <v>46</v>
      </c>
      <c r="B72" s="38">
        <v>8980.3657737165431</v>
      </c>
      <c r="C72" s="39">
        <v>5467750746562.6367</v>
      </c>
      <c r="D72" s="39">
        <v>8805078661477547</v>
      </c>
      <c r="E72" s="39">
        <v>4.0297323002166632E+16</v>
      </c>
      <c r="F72" s="39">
        <v>5</v>
      </c>
      <c r="G72" s="39">
        <v>1.0000000000000011E-11</v>
      </c>
      <c r="H72" s="66">
        <f t="shared" si="2"/>
        <v>8247.3563228027087</v>
      </c>
      <c r="I72" s="40">
        <f t="shared" si="0"/>
        <v>733.00945091578433</v>
      </c>
      <c r="J72" s="18"/>
      <c r="K72" s="18"/>
      <c r="L72" s="18"/>
      <c r="M72" s="18"/>
      <c r="N72" s="7"/>
    </row>
    <row r="73" spans="1:14" ht="12.75" customHeight="1" x14ac:dyDescent="0.2">
      <c r="A73" s="37">
        <v>47</v>
      </c>
      <c r="B73" s="38">
        <v>8980.3657737185094</v>
      </c>
      <c r="C73" s="39">
        <v>5467750746555.916</v>
      </c>
      <c r="D73" s="39">
        <v>8805078661477475</v>
      </c>
      <c r="E73" s="39">
        <v>4.0297323002117104E+16</v>
      </c>
      <c r="F73" s="39">
        <v>5</v>
      </c>
      <c r="G73" s="39">
        <v>1.0000000000000011E-11</v>
      </c>
      <c r="H73" s="66">
        <f t="shared" si="2"/>
        <v>8430.6086855316589</v>
      </c>
      <c r="I73" s="40">
        <f t="shared" si="0"/>
        <v>549.75708818683415</v>
      </c>
      <c r="J73" s="18"/>
      <c r="K73" s="18"/>
      <c r="L73" s="18"/>
      <c r="M73" s="18"/>
      <c r="N73" s="7"/>
    </row>
    <row r="74" spans="1:14" ht="12.75" customHeight="1" x14ac:dyDescent="0.2">
      <c r="A74" s="37">
        <v>48</v>
      </c>
      <c r="B74" s="38">
        <v>8980.3657737185094</v>
      </c>
      <c r="C74" s="39">
        <v>5467750746555.916</v>
      </c>
      <c r="D74" s="39">
        <v>8805078661477475</v>
      </c>
      <c r="E74" s="39">
        <v>4.0297323002117104E+16</v>
      </c>
      <c r="F74" s="39">
        <v>5</v>
      </c>
      <c r="G74" s="39">
        <v>1.0000000000000011E-11</v>
      </c>
      <c r="H74" s="66">
        <f t="shared" si="2"/>
        <v>8613.8610482606091</v>
      </c>
      <c r="I74" s="40">
        <f t="shared" si="0"/>
        <v>366.50472545788398</v>
      </c>
      <c r="J74" s="18"/>
      <c r="K74" s="18"/>
      <c r="L74" s="18"/>
      <c r="M74" s="18"/>
      <c r="N74" s="7"/>
    </row>
    <row r="75" spans="1:14" ht="12.75" customHeight="1" x14ac:dyDescent="0.2">
      <c r="A75" s="37">
        <v>49</v>
      </c>
      <c r="B75" s="38">
        <v>8980.365773718504</v>
      </c>
      <c r="C75" s="39">
        <v>5467750746555.9551</v>
      </c>
      <c r="D75" s="39">
        <v>8805078661477508</v>
      </c>
      <c r="E75" s="39">
        <v>4.0297323002117392E+16</v>
      </c>
      <c r="F75" s="39">
        <v>4</v>
      </c>
      <c r="G75" s="39">
        <v>1.0000000000000011E-11</v>
      </c>
      <c r="H75" s="66">
        <f>H76-$H$25</f>
        <v>8797.1134109895593</v>
      </c>
      <c r="I75" s="40">
        <f t="shared" si="0"/>
        <v>183.2523627289338</v>
      </c>
      <c r="J75" s="18"/>
      <c r="K75" s="18"/>
      <c r="L75" s="18"/>
      <c r="M75" s="18"/>
      <c r="N75" s="7"/>
    </row>
    <row r="76" spans="1:14" ht="12.75" customHeight="1" x14ac:dyDescent="0.2">
      <c r="A76" s="37">
        <v>50</v>
      </c>
      <c r="B76" s="38">
        <v>8980.3657737185094</v>
      </c>
      <c r="C76" s="39">
        <v>5467750746555.916</v>
      </c>
      <c r="D76" s="39">
        <v>8805078661477475</v>
      </c>
      <c r="E76" s="39">
        <v>4.0297323002117104E+16</v>
      </c>
      <c r="F76" s="39">
        <v>0</v>
      </c>
      <c r="G76" s="39">
        <v>1.0000000000000011E-11</v>
      </c>
      <c r="H76" s="101">
        <f>sheet1!I6</f>
        <v>8980.3657737185094</v>
      </c>
      <c r="I76" s="40">
        <f>ABS(H76-$B$22)</f>
        <v>1.6370904631912708E-11</v>
      </c>
      <c r="J76" s="18"/>
      <c r="K76" s="18"/>
      <c r="L76" s="18"/>
      <c r="M76" s="18"/>
      <c r="N76" s="7"/>
    </row>
    <row r="77" spans="1:14" ht="12.75" customHeight="1" x14ac:dyDescent="0.2">
      <c r="A77" s="37">
        <v>51</v>
      </c>
      <c r="B77" s="38">
        <v>8980.3657737184731</v>
      </c>
      <c r="C77" s="39">
        <v>5467750746556.0713</v>
      </c>
      <c r="D77" s="39">
        <v>8805078661477526</v>
      </c>
      <c r="E77" s="39">
        <v>4.0297323002118248E+16</v>
      </c>
      <c r="F77" s="39">
        <v>4</v>
      </c>
      <c r="G77" s="39">
        <v>1.0000000000000011E-11</v>
      </c>
      <c r="H77" s="66">
        <f>H76+$H$25</f>
        <v>9163.6181364474596</v>
      </c>
      <c r="I77" s="40">
        <f t="shared" si="0"/>
        <v>183.25236272896655</v>
      </c>
      <c r="J77" s="18"/>
      <c r="K77" s="18"/>
      <c r="L77" s="18"/>
      <c r="M77" s="18"/>
      <c r="N77" s="7"/>
    </row>
    <row r="78" spans="1:14" ht="13.5" customHeight="1" x14ac:dyDescent="0.2">
      <c r="A78" s="37">
        <v>52</v>
      </c>
      <c r="B78" s="38">
        <v>8980.3657737185113</v>
      </c>
      <c r="C78" s="39">
        <v>5467750746555.916</v>
      </c>
      <c r="D78" s="39">
        <v>8805078661477485</v>
      </c>
      <c r="E78" s="39">
        <v>4.0297323002117104E+16</v>
      </c>
      <c r="F78" s="39">
        <v>5</v>
      </c>
      <c r="G78" s="39">
        <v>1.0000000000000011E-11</v>
      </c>
      <c r="H78" s="66">
        <f t="shared" ref="H78:H126" si="3">H77+$H$25</f>
        <v>9346.8704991764098</v>
      </c>
      <c r="I78" s="40">
        <f t="shared" ref="I78:I126" si="4">ABS(H78-$B$22)</f>
        <v>366.50472545791672</v>
      </c>
      <c r="J78" s="18"/>
      <c r="K78" s="18"/>
      <c r="L78" s="18"/>
      <c r="M78" s="18"/>
      <c r="N78" s="7"/>
    </row>
    <row r="79" spans="1:14" ht="12.75" customHeight="1" x14ac:dyDescent="0.2">
      <c r="A79" s="37">
        <v>53</v>
      </c>
      <c r="B79" s="38">
        <v>8980.3657737185113</v>
      </c>
      <c r="C79" s="39">
        <v>5467750746555.916</v>
      </c>
      <c r="D79" s="39">
        <v>8805078661477485</v>
      </c>
      <c r="E79" s="39">
        <v>4.0297323002117104E+16</v>
      </c>
      <c r="F79" s="39">
        <v>6</v>
      </c>
      <c r="G79" s="39">
        <v>1.0000000000000011E-11</v>
      </c>
      <c r="H79" s="66">
        <f t="shared" si="3"/>
        <v>9530.12286190536</v>
      </c>
      <c r="I79" s="40">
        <f t="shared" si="4"/>
        <v>549.75708818686689</v>
      </c>
      <c r="J79" s="18"/>
      <c r="K79" s="18"/>
      <c r="L79" s="18"/>
      <c r="M79" s="18"/>
      <c r="N79" s="7"/>
    </row>
    <row r="80" spans="1:14" ht="12.75" customHeight="1" x14ac:dyDescent="0.2">
      <c r="A80" s="37">
        <v>54</v>
      </c>
      <c r="B80" s="38">
        <v>8980.365773717147</v>
      </c>
      <c r="C80" s="39">
        <v>5467750746560.5781</v>
      </c>
      <c r="D80" s="39">
        <v>8805078661477534</v>
      </c>
      <c r="E80" s="39">
        <v>4.0297323002151464E+16</v>
      </c>
      <c r="F80" s="39">
        <v>6</v>
      </c>
      <c r="G80" s="39">
        <v>1.0000000000000011E-11</v>
      </c>
      <c r="H80" s="66">
        <f t="shared" si="3"/>
        <v>9713.3752246343101</v>
      </c>
      <c r="I80" s="40">
        <f t="shared" si="4"/>
        <v>733.00945091581707</v>
      </c>
      <c r="J80" s="18"/>
      <c r="K80" s="18"/>
      <c r="L80" s="18"/>
      <c r="M80" s="18"/>
      <c r="N80" s="7"/>
    </row>
    <row r="81" spans="1:14" ht="12.75" customHeight="1" x14ac:dyDescent="0.2">
      <c r="A81" s="37">
        <v>55</v>
      </c>
      <c r="B81" s="38">
        <v>8980.3657737062003</v>
      </c>
      <c r="C81" s="39">
        <v>5467750746597.7197</v>
      </c>
      <c r="D81" s="39">
        <v>8805078661477492</v>
      </c>
      <c r="E81" s="39">
        <v>4.0297323002425192E+16</v>
      </c>
      <c r="F81" s="39">
        <v>7</v>
      </c>
      <c r="G81" s="39">
        <v>1.0000000000000011E-11</v>
      </c>
      <c r="H81" s="66">
        <f t="shared" si="3"/>
        <v>9896.6275873632603</v>
      </c>
      <c r="I81" s="40">
        <f t="shared" si="4"/>
        <v>916.26181364476724</v>
      </c>
      <c r="J81" s="18"/>
      <c r="K81" s="18"/>
      <c r="L81" s="18"/>
      <c r="M81" s="18"/>
      <c r="N81" s="7"/>
    </row>
    <row r="82" spans="1:14" ht="12.75" customHeight="1" x14ac:dyDescent="0.2">
      <c r="A82" s="37">
        <v>56</v>
      </c>
      <c r="B82" s="38">
        <v>8980.3657737138983</v>
      </c>
      <c r="C82" s="39">
        <v>5467750746571.5723</v>
      </c>
      <c r="D82" s="39">
        <v>8805078661477475</v>
      </c>
      <c r="E82" s="39">
        <v>4.0297323002232488E+16</v>
      </c>
      <c r="F82" s="39">
        <v>9</v>
      </c>
      <c r="G82" s="39">
        <v>1.0000000000000011E-11</v>
      </c>
      <c r="H82" s="66">
        <f t="shared" si="3"/>
        <v>10079.87995009221</v>
      </c>
      <c r="I82" s="40">
        <f t="shared" si="4"/>
        <v>1099.5141763737174</v>
      </c>
      <c r="J82" s="18"/>
      <c r="K82" s="18"/>
      <c r="L82" s="18"/>
      <c r="M82" s="18"/>
      <c r="N82" s="7"/>
    </row>
    <row r="83" spans="1:14" ht="12.75" customHeight="1" x14ac:dyDescent="0.2">
      <c r="A83" s="37">
        <v>57</v>
      </c>
      <c r="B83" s="38">
        <v>8980.3657737185058</v>
      </c>
      <c r="C83" s="39">
        <v>5467750746555.9551</v>
      </c>
      <c r="D83" s="39">
        <v>8805078661477518</v>
      </c>
      <c r="E83" s="39">
        <v>4.0297323002117392E+16</v>
      </c>
      <c r="F83" s="39">
        <v>15</v>
      </c>
      <c r="G83" s="39">
        <v>1.0000000000000011E-11</v>
      </c>
      <c r="H83" s="66">
        <f t="shared" si="3"/>
        <v>10263.132312821161</v>
      </c>
      <c r="I83" s="40">
        <f t="shared" si="4"/>
        <v>1282.7665391026676</v>
      </c>
      <c r="J83" s="18"/>
      <c r="K83" s="18"/>
      <c r="L83" s="18"/>
      <c r="M83" s="18"/>
      <c r="N83" s="7"/>
    </row>
    <row r="84" spans="1:14" ht="12.75" customHeight="1" x14ac:dyDescent="0.2">
      <c r="A84" s="37">
        <v>58</v>
      </c>
      <c r="B84" s="38">
        <v>8980.365773718504</v>
      </c>
      <c r="C84" s="39">
        <v>5467750746555.9551</v>
      </c>
      <c r="D84" s="39">
        <v>8805078661477508</v>
      </c>
      <c r="E84" s="39">
        <v>4.0297323002117392E+16</v>
      </c>
      <c r="F84" s="39">
        <v>251</v>
      </c>
      <c r="G84" s="39">
        <v>1.0000000000000011E-11</v>
      </c>
      <c r="H84" s="66">
        <f t="shared" si="3"/>
        <v>10446.384675550111</v>
      </c>
      <c r="I84" s="40">
        <f t="shared" si="4"/>
        <v>1466.0189018316178</v>
      </c>
      <c r="J84" s="18"/>
      <c r="K84" s="18"/>
      <c r="L84" s="18"/>
      <c r="M84" s="18"/>
      <c r="N84" s="7"/>
    </row>
    <row r="85" spans="1:14" ht="12.75" customHeight="1" x14ac:dyDescent="0.2">
      <c r="A85" s="37">
        <v>59</v>
      </c>
      <c r="B85" s="139" t="s">
        <v>107</v>
      </c>
      <c r="C85" s="140"/>
      <c r="D85" s="140"/>
      <c r="E85" s="140"/>
      <c r="F85" s="141"/>
      <c r="G85" s="39">
        <v>1.0000000000000011E-11</v>
      </c>
      <c r="H85" s="66">
        <f t="shared" si="3"/>
        <v>10629.637038279061</v>
      </c>
      <c r="I85" s="40">
        <f t="shared" si="4"/>
        <v>1649.2712645605679</v>
      </c>
      <c r="J85" s="18"/>
      <c r="K85" s="18"/>
      <c r="L85" s="18"/>
      <c r="M85" s="18"/>
      <c r="N85" s="7"/>
    </row>
    <row r="86" spans="1:14" ht="12.75" customHeight="1" x14ac:dyDescent="0.2">
      <c r="A86" s="37">
        <v>60</v>
      </c>
      <c r="B86" s="142"/>
      <c r="C86" s="143"/>
      <c r="D86" s="143"/>
      <c r="E86" s="143"/>
      <c r="F86" s="144"/>
      <c r="G86" s="39">
        <v>1.0000000000000011E-11</v>
      </c>
      <c r="H86" s="66">
        <f t="shared" si="3"/>
        <v>10812.889401008011</v>
      </c>
      <c r="I86" s="40">
        <f t="shared" si="4"/>
        <v>1832.5236272895181</v>
      </c>
      <c r="J86" s="18"/>
      <c r="K86" s="18"/>
      <c r="L86" s="18"/>
      <c r="M86" s="18"/>
      <c r="N86" s="7"/>
    </row>
    <row r="87" spans="1:14" ht="12.75" customHeight="1" x14ac:dyDescent="0.2">
      <c r="A87" s="37">
        <v>61</v>
      </c>
      <c r="B87" s="142"/>
      <c r="C87" s="143"/>
      <c r="D87" s="143"/>
      <c r="E87" s="143"/>
      <c r="F87" s="144"/>
      <c r="G87" s="39">
        <v>1.0000000000000011E-11</v>
      </c>
      <c r="H87" s="66">
        <f t="shared" si="3"/>
        <v>10996.141763736961</v>
      </c>
      <c r="I87" s="40">
        <f t="shared" si="4"/>
        <v>2015.7759900184683</v>
      </c>
      <c r="J87" s="18"/>
      <c r="K87" s="18"/>
      <c r="L87" s="18"/>
      <c r="M87" s="18"/>
      <c r="N87" s="7"/>
    </row>
    <row r="88" spans="1:14" ht="12.75" customHeight="1" x14ac:dyDescent="0.2">
      <c r="A88" s="37">
        <v>62</v>
      </c>
      <c r="B88" s="142"/>
      <c r="C88" s="143"/>
      <c r="D88" s="143"/>
      <c r="E88" s="143"/>
      <c r="F88" s="144"/>
      <c r="G88" s="39">
        <v>1.0000000000000011E-11</v>
      </c>
      <c r="H88" s="66">
        <f t="shared" si="3"/>
        <v>11179.394126465912</v>
      </c>
      <c r="I88" s="40">
        <f t="shared" si="4"/>
        <v>2199.0283527474185</v>
      </c>
      <c r="J88" s="18"/>
      <c r="K88" s="18"/>
      <c r="L88" s="18"/>
      <c r="M88" s="18"/>
      <c r="N88" s="7"/>
    </row>
    <row r="89" spans="1:14" ht="12.75" customHeight="1" x14ac:dyDescent="0.2">
      <c r="A89" s="37">
        <v>63</v>
      </c>
      <c r="B89" s="142"/>
      <c r="C89" s="143"/>
      <c r="D89" s="143"/>
      <c r="E89" s="143"/>
      <c r="F89" s="144"/>
      <c r="G89" s="39">
        <v>1.0000000000000011E-11</v>
      </c>
      <c r="H89" s="66">
        <f t="shared" si="3"/>
        <v>11362.646489194862</v>
      </c>
      <c r="I89" s="40">
        <f t="shared" si="4"/>
        <v>2382.2807154763686</v>
      </c>
      <c r="J89" s="18"/>
      <c r="K89" s="18"/>
      <c r="L89" s="18"/>
      <c r="M89" s="18"/>
      <c r="N89" s="7"/>
    </row>
    <row r="90" spans="1:14" ht="13.5" customHeight="1" x14ac:dyDescent="0.2">
      <c r="A90" s="37">
        <v>64</v>
      </c>
      <c r="B90" s="142"/>
      <c r="C90" s="143"/>
      <c r="D90" s="143"/>
      <c r="E90" s="143"/>
      <c r="F90" s="144"/>
      <c r="G90" s="39">
        <v>1.0000000000000011E-11</v>
      </c>
      <c r="H90" s="66">
        <f t="shared" si="3"/>
        <v>11545.898851923812</v>
      </c>
      <c r="I90" s="40">
        <f t="shared" si="4"/>
        <v>2565.5330782053188</v>
      </c>
      <c r="J90" s="18"/>
      <c r="K90" s="18"/>
      <c r="L90" s="18"/>
      <c r="M90" s="18"/>
      <c r="N90" s="7"/>
    </row>
    <row r="91" spans="1:14" x14ac:dyDescent="0.2">
      <c r="A91" s="37">
        <v>65</v>
      </c>
      <c r="B91" s="142"/>
      <c r="C91" s="143"/>
      <c r="D91" s="143"/>
      <c r="E91" s="143"/>
      <c r="F91" s="144"/>
      <c r="G91" s="39">
        <v>1.0000000000000011E-11</v>
      </c>
      <c r="H91" s="66">
        <f t="shared" si="3"/>
        <v>11729.151214652762</v>
      </c>
      <c r="I91" s="40">
        <f t="shared" si="4"/>
        <v>2748.785440934269</v>
      </c>
      <c r="J91" s="18"/>
      <c r="K91" s="18"/>
      <c r="L91" s="18"/>
      <c r="M91" s="18"/>
      <c r="N91" s="7"/>
    </row>
    <row r="92" spans="1:14" x14ac:dyDescent="0.2">
      <c r="A92" s="37">
        <v>66</v>
      </c>
      <c r="B92" s="142"/>
      <c r="C92" s="143"/>
      <c r="D92" s="143"/>
      <c r="E92" s="143"/>
      <c r="F92" s="144"/>
      <c r="G92" s="39">
        <v>1.0000000000000011E-11</v>
      </c>
      <c r="H92" s="66">
        <f t="shared" si="3"/>
        <v>11912.403577381712</v>
      </c>
      <c r="I92" s="40">
        <f t="shared" si="4"/>
        <v>2932.0378036632192</v>
      </c>
      <c r="J92" s="18"/>
      <c r="K92" s="18"/>
      <c r="L92" s="18"/>
      <c r="M92" s="18"/>
      <c r="N92" s="7"/>
    </row>
    <row r="93" spans="1:14" x14ac:dyDescent="0.2">
      <c r="A93" s="37">
        <v>67</v>
      </c>
      <c r="B93" s="142"/>
      <c r="C93" s="143"/>
      <c r="D93" s="143"/>
      <c r="E93" s="143"/>
      <c r="F93" s="144"/>
      <c r="G93" s="39">
        <v>1.0000000000000011E-11</v>
      </c>
      <c r="H93" s="66">
        <f t="shared" si="3"/>
        <v>12095.655940110662</v>
      </c>
      <c r="I93" s="40">
        <f t="shared" si="4"/>
        <v>3115.2901663921693</v>
      </c>
      <c r="J93" s="18"/>
      <c r="K93" s="18"/>
      <c r="L93" s="18"/>
      <c r="M93" s="18"/>
      <c r="N93" s="7"/>
    </row>
    <row r="94" spans="1:14" x14ac:dyDescent="0.2">
      <c r="A94" s="37">
        <v>68</v>
      </c>
      <c r="B94" s="142"/>
      <c r="C94" s="143"/>
      <c r="D94" s="143"/>
      <c r="E94" s="143"/>
      <c r="F94" s="144"/>
      <c r="G94" s="39">
        <v>1.0000000000000011E-11</v>
      </c>
      <c r="H94" s="66">
        <f t="shared" si="3"/>
        <v>12278.908302839613</v>
      </c>
      <c r="I94" s="40">
        <f t="shared" si="4"/>
        <v>3298.5425291211195</v>
      </c>
      <c r="J94" s="18"/>
      <c r="K94" s="18"/>
      <c r="L94" s="18"/>
      <c r="M94" s="18"/>
      <c r="N94" s="7"/>
    </row>
    <row r="95" spans="1:14" x14ac:dyDescent="0.2">
      <c r="A95" s="37">
        <v>69</v>
      </c>
      <c r="B95" s="142"/>
      <c r="C95" s="143"/>
      <c r="D95" s="143"/>
      <c r="E95" s="143"/>
      <c r="F95" s="144"/>
      <c r="G95" s="39">
        <v>1.0000000000000011E-11</v>
      </c>
      <c r="H95" s="66">
        <f t="shared" si="3"/>
        <v>12462.160665568563</v>
      </c>
      <c r="I95" s="40">
        <f t="shared" si="4"/>
        <v>3481.7948918500697</v>
      </c>
      <c r="J95" s="18"/>
      <c r="K95" s="18"/>
      <c r="L95" s="18"/>
      <c r="M95" s="18"/>
      <c r="N95" s="7"/>
    </row>
    <row r="96" spans="1:14" x14ac:dyDescent="0.2">
      <c r="A96" s="37">
        <v>70</v>
      </c>
      <c r="B96" s="142"/>
      <c r="C96" s="143"/>
      <c r="D96" s="143"/>
      <c r="E96" s="143"/>
      <c r="F96" s="144"/>
      <c r="G96" s="39">
        <v>1.0000000000000011E-11</v>
      </c>
      <c r="H96" s="66">
        <f t="shared" si="3"/>
        <v>12645.413028297513</v>
      </c>
      <c r="I96" s="40">
        <f t="shared" si="4"/>
        <v>3665.0472545790199</v>
      </c>
      <c r="J96" s="18"/>
      <c r="K96" s="18"/>
      <c r="L96" s="18"/>
      <c r="M96" s="18"/>
      <c r="N96" s="7"/>
    </row>
    <row r="97" spans="1:14" x14ac:dyDescent="0.2">
      <c r="A97" s="37">
        <v>71</v>
      </c>
      <c r="B97" s="142"/>
      <c r="C97" s="143"/>
      <c r="D97" s="143"/>
      <c r="E97" s="143"/>
      <c r="F97" s="144"/>
      <c r="G97" s="39">
        <v>1.0000000000000011E-11</v>
      </c>
      <c r="H97" s="66">
        <f t="shared" si="3"/>
        <v>12828.665391026463</v>
      </c>
      <c r="I97" s="40">
        <f t="shared" si="4"/>
        <v>3848.29961730797</v>
      </c>
      <c r="J97" s="18"/>
      <c r="K97" s="18"/>
      <c r="L97" s="18"/>
      <c r="M97" s="18"/>
      <c r="N97" s="7"/>
    </row>
    <row r="98" spans="1:14" x14ac:dyDescent="0.2">
      <c r="A98" s="37">
        <v>72</v>
      </c>
      <c r="B98" s="142"/>
      <c r="C98" s="143"/>
      <c r="D98" s="143"/>
      <c r="E98" s="143"/>
      <c r="F98" s="144"/>
      <c r="G98" s="39">
        <v>1.0000000000000011E-11</v>
      </c>
      <c r="H98" s="66">
        <f t="shared" si="3"/>
        <v>13011.917753755413</v>
      </c>
      <c r="I98" s="40">
        <f t="shared" si="4"/>
        <v>4031.5519800369202</v>
      </c>
      <c r="J98" s="18"/>
      <c r="K98" s="18"/>
      <c r="L98" s="18"/>
      <c r="M98" s="18"/>
      <c r="N98" s="7"/>
    </row>
    <row r="99" spans="1:14" x14ac:dyDescent="0.2">
      <c r="A99" s="37">
        <v>73</v>
      </c>
      <c r="B99" s="142"/>
      <c r="C99" s="143"/>
      <c r="D99" s="143"/>
      <c r="E99" s="143"/>
      <c r="F99" s="144"/>
      <c r="G99" s="39">
        <v>1.0000000000000011E-11</v>
      </c>
      <c r="H99" s="66">
        <f t="shared" si="3"/>
        <v>13195.170116484363</v>
      </c>
      <c r="I99" s="40">
        <f t="shared" si="4"/>
        <v>4214.8043427658704</v>
      </c>
      <c r="J99" s="18"/>
      <c r="K99" s="18"/>
      <c r="L99" s="18"/>
      <c r="M99" s="18"/>
      <c r="N99" s="7"/>
    </row>
    <row r="100" spans="1:14" x14ac:dyDescent="0.2">
      <c r="A100" s="37">
        <v>74</v>
      </c>
      <c r="B100" s="142"/>
      <c r="C100" s="143"/>
      <c r="D100" s="143"/>
      <c r="E100" s="143"/>
      <c r="F100" s="144"/>
      <c r="G100" s="39">
        <v>1.0000000000000011E-11</v>
      </c>
      <c r="H100" s="66">
        <f t="shared" si="3"/>
        <v>13378.422479213314</v>
      </c>
      <c r="I100" s="40">
        <f t="shared" si="4"/>
        <v>4398.0567054948206</v>
      </c>
      <c r="J100" s="18"/>
      <c r="K100" s="18"/>
      <c r="L100" s="18"/>
      <c r="M100" s="18"/>
      <c r="N100" s="7"/>
    </row>
    <row r="101" spans="1:14" x14ac:dyDescent="0.2">
      <c r="A101" s="37">
        <v>75</v>
      </c>
      <c r="B101" s="142"/>
      <c r="C101" s="143"/>
      <c r="D101" s="143"/>
      <c r="E101" s="143"/>
      <c r="F101" s="144"/>
      <c r="G101" s="39">
        <v>1.0000000000000011E-11</v>
      </c>
      <c r="H101" s="66">
        <f t="shared" si="3"/>
        <v>13561.674841942264</v>
      </c>
      <c r="I101" s="40">
        <f t="shared" si="4"/>
        <v>4581.3090682237707</v>
      </c>
      <c r="J101" s="18"/>
      <c r="K101" s="18"/>
      <c r="L101" s="18"/>
      <c r="M101" s="18"/>
      <c r="N101" s="7"/>
    </row>
    <row r="102" spans="1:14" x14ac:dyDescent="0.2">
      <c r="A102" s="37">
        <v>76</v>
      </c>
      <c r="B102" s="142"/>
      <c r="C102" s="143"/>
      <c r="D102" s="143"/>
      <c r="E102" s="143"/>
      <c r="F102" s="144"/>
      <c r="G102" s="39">
        <v>1.0000000000000011E-11</v>
      </c>
      <c r="H102" s="66">
        <f t="shared" si="3"/>
        <v>13744.927204671214</v>
      </c>
      <c r="I102" s="40">
        <f t="shared" si="4"/>
        <v>4764.5614309527209</v>
      </c>
      <c r="J102" s="18"/>
      <c r="K102" s="18"/>
      <c r="L102" s="18"/>
      <c r="M102" s="18"/>
      <c r="N102" s="7"/>
    </row>
    <row r="103" spans="1:14" x14ac:dyDescent="0.2">
      <c r="A103" s="37">
        <v>77</v>
      </c>
      <c r="B103" s="142"/>
      <c r="C103" s="143"/>
      <c r="D103" s="143"/>
      <c r="E103" s="143"/>
      <c r="F103" s="144"/>
      <c r="G103" s="39">
        <v>1.0000000000000011E-11</v>
      </c>
      <c r="H103" s="66">
        <f t="shared" si="3"/>
        <v>13928.179567400164</v>
      </c>
      <c r="I103" s="40">
        <f t="shared" si="4"/>
        <v>4947.8137936816711</v>
      </c>
      <c r="J103" s="18"/>
      <c r="K103" s="18"/>
      <c r="L103" s="18"/>
      <c r="M103" s="18"/>
      <c r="N103" s="7"/>
    </row>
    <row r="104" spans="1:14" x14ac:dyDescent="0.2">
      <c r="A104" s="37">
        <v>78</v>
      </c>
      <c r="B104" s="142"/>
      <c r="C104" s="143"/>
      <c r="D104" s="143"/>
      <c r="E104" s="143"/>
      <c r="F104" s="144"/>
      <c r="G104" s="39">
        <v>1.0000000000000011E-11</v>
      </c>
      <c r="H104" s="66">
        <f t="shared" si="3"/>
        <v>14111.431930129114</v>
      </c>
      <c r="I104" s="40">
        <f t="shared" si="4"/>
        <v>5131.0661564106213</v>
      </c>
      <c r="J104" s="18"/>
      <c r="K104" s="18"/>
      <c r="L104" s="18"/>
      <c r="M104" s="18"/>
      <c r="N104" s="7"/>
    </row>
    <row r="105" spans="1:14" x14ac:dyDescent="0.2">
      <c r="A105" s="37">
        <v>79</v>
      </c>
      <c r="B105" s="142"/>
      <c r="C105" s="143"/>
      <c r="D105" s="143"/>
      <c r="E105" s="143"/>
      <c r="F105" s="144"/>
      <c r="G105" s="39">
        <v>1.0000000000000011E-11</v>
      </c>
      <c r="H105" s="66">
        <f t="shared" si="3"/>
        <v>14294.684292858065</v>
      </c>
      <c r="I105" s="40">
        <f t="shared" si="4"/>
        <v>5314.3185191395714</v>
      </c>
      <c r="J105" s="7"/>
      <c r="K105" s="7"/>
      <c r="L105" s="7"/>
      <c r="M105" s="7"/>
      <c r="N105" s="7"/>
    </row>
    <row r="106" spans="1:14" x14ac:dyDescent="0.2">
      <c r="A106" s="37">
        <v>80</v>
      </c>
      <c r="B106" s="142"/>
      <c r="C106" s="143"/>
      <c r="D106" s="143"/>
      <c r="E106" s="143"/>
      <c r="F106" s="144"/>
      <c r="G106" s="39">
        <v>1.0000000000000011E-11</v>
      </c>
      <c r="H106" s="66">
        <f t="shared" si="3"/>
        <v>14477.936655587015</v>
      </c>
      <c r="I106" s="40">
        <f t="shared" si="4"/>
        <v>5497.5708818685216</v>
      </c>
      <c r="J106" s="7"/>
      <c r="K106" s="7"/>
      <c r="L106" s="7"/>
      <c r="M106" s="7"/>
      <c r="N106" s="7"/>
    </row>
    <row r="107" spans="1:14" x14ac:dyDescent="0.2">
      <c r="A107" s="37">
        <v>81</v>
      </c>
      <c r="B107" s="142"/>
      <c r="C107" s="143"/>
      <c r="D107" s="143"/>
      <c r="E107" s="143"/>
      <c r="F107" s="144"/>
      <c r="G107" s="39">
        <v>1.0000000000000011E-11</v>
      </c>
      <c r="H107" s="66">
        <f t="shared" si="3"/>
        <v>14661.189018315965</v>
      </c>
      <c r="I107" s="40">
        <f t="shared" si="4"/>
        <v>5680.8232445974718</v>
      </c>
      <c r="J107" s="7"/>
      <c r="K107" s="7"/>
      <c r="L107" s="7"/>
      <c r="M107" s="7"/>
      <c r="N107" s="7"/>
    </row>
    <row r="108" spans="1:14" x14ac:dyDescent="0.2">
      <c r="A108" s="37">
        <v>82</v>
      </c>
      <c r="B108" s="142"/>
      <c r="C108" s="143"/>
      <c r="D108" s="143"/>
      <c r="E108" s="143"/>
      <c r="F108" s="144"/>
      <c r="G108" s="39">
        <v>1.0000000000000011E-11</v>
      </c>
      <c r="H108" s="66">
        <f t="shared" si="3"/>
        <v>14844.441381044915</v>
      </c>
      <c r="I108" s="40">
        <f t="shared" si="4"/>
        <v>5864.075607326422</v>
      </c>
      <c r="J108" s="7"/>
      <c r="K108" s="7"/>
      <c r="L108" s="7"/>
      <c r="M108" s="7"/>
      <c r="N108" s="7"/>
    </row>
    <row r="109" spans="1:14" x14ac:dyDescent="0.2">
      <c r="A109" s="37">
        <v>83</v>
      </c>
      <c r="B109" s="142"/>
      <c r="C109" s="143"/>
      <c r="D109" s="143"/>
      <c r="E109" s="143"/>
      <c r="F109" s="144"/>
      <c r="G109" s="39">
        <v>1.0000000000000011E-11</v>
      </c>
      <c r="H109" s="66">
        <f t="shared" si="3"/>
        <v>15027.693743773865</v>
      </c>
      <c r="I109" s="40">
        <f t="shared" si="4"/>
        <v>6047.3279700553721</v>
      </c>
      <c r="J109" s="7"/>
      <c r="K109" s="7"/>
      <c r="L109" s="7"/>
      <c r="M109" s="7"/>
      <c r="N109" s="7"/>
    </row>
    <row r="110" spans="1:14" x14ac:dyDescent="0.2">
      <c r="A110" s="37">
        <v>84</v>
      </c>
      <c r="B110" s="142"/>
      <c r="C110" s="143"/>
      <c r="D110" s="143"/>
      <c r="E110" s="143"/>
      <c r="F110" s="144"/>
      <c r="G110" s="39">
        <v>1.0000000000000011E-11</v>
      </c>
      <c r="H110" s="66">
        <f t="shared" si="3"/>
        <v>15210.946106502815</v>
      </c>
      <c r="I110" s="40">
        <f t="shared" si="4"/>
        <v>6230.5803327843223</v>
      </c>
      <c r="J110" s="7"/>
      <c r="K110" s="7"/>
      <c r="L110" s="7"/>
      <c r="M110" s="7"/>
      <c r="N110" s="7"/>
    </row>
    <row r="111" spans="1:14" x14ac:dyDescent="0.2">
      <c r="A111" s="37">
        <v>85</v>
      </c>
      <c r="B111" s="142"/>
      <c r="C111" s="143"/>
      <c r="D111" s="143"/>
      <c r="E111" s="143"/>
      <c r="F111" s="144"/>
      <c r="G111" s="39">
        <v>1.0000000000000011E-11</v>
      </c>
      <c r="H111" s="66">
        <f t="shared" si="3"/>
        <v>15394.198469231766</v>
      </c>
      <c r="I111" s="40">
        <f t="shared" si="4"/>
        <v>6413.8326955132725</v>
      </c>
      <c r="J111" s="7"/>
      <c r="K111" s="7"/>
      <c r="L111" s="7"/>
      <c r="M111" s="7"/>
      <c r="N111" s="7"/>
    </row>
    <row r="112" spans="1:14" x14ac:dyDescent="0.2">
      <c r="A112" s="37">
        <v>86</v>
      </c>
      <c r="B112" s="142"/>
      <c r="C112" s="143"/>
      <c r="D112" s="143"/>
      <c r="E112" s="143"/>
      <c r="F112" s="144"/>
      <c r="G112" s="39">
        <v>1.0000000000000011E-11</v>
      </c>
      <c r="H112" s="66">
        <f t="shared" si="3"/>
        <v>15577.450831960716</v>
      </c>
      <c r="I112" s="40">
        <f t="shared" si="4"/>
        <v>6597.0850582422227</v>
      </c>
      <c r="J112" s="7"/>
      <c r="K112" s="7"/>
      <c r="L112" s="7"/>
      <c r="M112" s="7"/>
      <c r="N112" s="7"/>
    </row>
    <row r="113" spans="1:14" x14ac:dyDescent="0.2">
      <c r="A113" s="37">
        <v>87</v>
      </c>
      <c r="B113" s="142"/>
      <c r="C113" s="143"/>
      <c r="D113" s="143"/>
      <c r="E113" s="143"/>
      <c r="F113" s="144"/>
      <c r="G113" s="39">
        <v>1.0000000000000011E-11</v>
      </c>
      <c r="H113" s="66">
        <f t="shared" si="3"/>
        <v>15760.703194689666</v>
      </c>
      <c r="I113" s="40">
        <f t="shared" si="4"/>
        <v>6780.3374209711728</v>
      </c>
      <c r="J113" s="7"/>
      <c r="K113" s="7"/>
      <c r="L113" s="7"/>
      <c r="M113" s="7"/>
      <c r="N113" s="7"/>
    </row>
    <row r="114" spans="1:14" x14ac:dyDescent="0.2">
      <c r="A114" s="37">
        <v>88</v>
      </c>
      <c r="B114" s="142"/>
      <c r="C114" s="143"/>
      <c r="D114" s="143"/>
      <c r="E114" s="143"/>
      <c r="F114" s="144"/>
      <c r="G114" s="39">
        <v>1.0000000000000011E-11</v>
      </c>
      <c r="H114" s="66">
        <f t="shared" si="3"/>
        <v>15943.955557418616</v>
      </c>
      <c r="I114" s="40">
        <f t="shared" si="4"/>
        <v>6963.589783700123</v>
      </c>
      <c r="J114" s="7"/>
      <c r="K114" s="7"/>
      <c r="L114" s="7"/>
      <c r="M114" s="7"/>
      <c r="N114" s="7"/>
    </row>
    <row r="115" spans="1:14" x14ac:dyDescent="0.2">
      <c r="A115" s="37">
        <v>89</v>
      </c>
      <c r="B115" s="142"/>
      <c r="C115" s="143"/>
      <c r="D115" s="143"/>
      <c r="E115" s="143"/>
      <c r="F115" s="144"/>
      <c r="G115" s="39">
        <v>1.0000000000000011E-11</v>
      </c>
      <c r="H115" s="66">
        <f t="shared" si="3"/>
        <v>16127.207920147566</v>
      </c>
      <c r="I115" s="40">
        <f t="shared" si="4"/>
        <v>7146.8421464290732</v>
      </c>
      <c r="J115" s="7"/>
      <c r="K115" s="7"/>
      <c r="L115" s="7"/>
      <c r="M115" s="7"/>
      <c r="N115" s="7"/>
    </row>
    <row r="116" spans="1:14" x14ac:dyDescent="0.2">
      <c r="A116" s="37">
        <v>90</v>
      </c>
      <c r="B116" s="142"/>
      <c r="C116" s="143"/>
      <c r="D116" s="143"/>
      <c r="E116" s="143"/>
      <c r="F116" s="144"/>
      <c r="G116" s="39">
        <v>1.0000000000000011E-11</v>
      </c>
      <c r="H116" s="66">
        <f t="shared" si="3"/>
        <v>16310.460282876516</v>
      </c>
      <c r="I116" s="40">
        <f t="shared" si="4"/>
        <v>7330.0945091580234</v>
      </c>
      <c r="J116" s="7"/>
      <c r="K116" s="7"/>
      <c r="L116" s="7"/>
      <c r="M116" s="7"/>
      <c r="N116" s="7"/>
    </row>
    <row r="117" spans="1:14" x14ac:dyDescent="0.2">
      <c r="A117" s="37">
        <v>91</v>
      </c>
      <c r="B117" s="142"/>
      <c r="C117" s="143"/>
      <c r="D117" s="143"/>
      <c r="E117" s="143"/>
      <c r="F117" s="144"/>
      <c r="G117" s="39">
        <v>1.0000000000000011E-11</v>
      </c>
      <c r="H117" s="66">
        <f t="shared" si="3"/>
        <v>16493.712645605465</v>
      </c>
      <c r="I117" s="40">
        <f t="shared" si="4"/>
        <v>7513.3468718869717</v>
      </c>
      <c r="J117" s="7"/>
      <c r="K117" s="7"/>
      <c r="L117" s="7"/>
      <c r="M117" s="7"/>
      <c r="N117" s="7"/>
    </row>
    <row r="118" spans="1:14" x14ac:dyDescent="0.2">
      <c r="A118" s="37">
        <v>92</v>
      </c>
      <c r="B118" s="142"/>
      <c r="C118" s="143"/>
      <c r="D118" s="143"/>
      <c r="E118" s="143"/>
      <c r="F118" s="144"/>
      <c r="G118" s="39">
        <v>1.0000000000000011E-11</v>
      </c>
      <c r="H118" s="66">
        <f t="shared" si="3"/>
        <v>16676.965008334413</v>
      </c>
      <c r="I118" s="40">
        <f t="shared" si="4"/>
        <v>7696.5992346159201</v>
      </c>
      <c r="J118" s="7"/>
      <c r="K118" s="7"/>
      <c r="L118" s="7"/>
      <c r="M118" s="7"/>
      <c r="N118" s="7"/>
    </row>
    <row r="119" spans="1:14" x14ac:dyDescent="0.2">
      <c r="A119" s="37">
        <v>93</v>
      </c>
      <c r="B119" s="142"/>
      <c r="C119" s="143"/>
      <c r="D119" s="143"/>
      <c r="E119" s="143"/>
      <c r="F119" s="144"/>
      <c r="G119" s="39">
        <v>1.0000000000000011E-11</v>
      </c>
      <c r="H119" s="66">
        <f t="shared" si="3"/>
        <v>16860.217371063361</v>
      </c>
      <c r="I119" s="40">
        <f t="shared" si="4"/>
        <v>7879.8515973448684</v>
      </c>
      <c r="J119" s="7"/>
      <c r="K119" s="7"/>
      <c r="L119" s="7"/>
      <c r="M119" s="7"/>
      <c r="N119" s="7"/>
    </row>
    <row r="120" spans="1:14" x14ac:dyDescent="0.2">
      <c r="A120" s="37">
        <v>94</v>
      </c>
      <c r="B120" s="142"/>
      <c r="C120" s="143"/>
      <c r="D120" s="143"/>
      <c r="E120" s="143"/>
      <c r="F120" s="144"/>
      <c r="G120" s="39">
        <v>1.0000000000000011E-11</v>
      </c>
      <c r="H120" s="66">
        <f t="shared" si="3"/>
        <v>17043.46973379231</v>
      </c>
      <c r="I120" s="40">
        <f t="shared" si="4"/>
        <v>8063.1039600738168</v>
      </c>
      <c r="J120" s="7"/>
      <c r="K120" s="7"/>
      <c r="L120" s="7"/>
      <c r="M120" s="7"/>
      <c r="N120" s="7"/>
    </row>
    <row r="121" spans="1:14" x14ac:dyDescent="0.2">
      <c r="A121" s="37">
        <v>95</v>
      </c>
      <c r="B121" s="142"/>
      <c r="C121" s="143"/>
      <c r="D121" s="143"/>
      <c r="E121" s="143"/>
      <c r="F121" s="144"/>
      <c r="G121" s="39">
        <v>1.0000000000000011E-11</v>
      </c>
      <c r="H121" s="66">
        <f t="shared" si="3"/>
        <v>17226.722096521258</v>
      </c>
      <c r="I121" s="40">
        <f t="shared" si="4"/>
        <v>8246.3563228027651</v>
      </c>
      <c r="J121" s="7"/>
      <c r="K121" s="7"/>
      <c r="L121" s="7"/>
      <c r="M121" s="7"/>
      <c r="N121" s="7"/>
    </row>
    <row r="122" spans="1:14" x14ac:dyDescent="0.2">
      <c r="A122" s="37">
        <v>96</v>
      </c>
      <c r="B122" s="142"/>
      <c r="C122" s="143"/>
      <c r="D122" s="143"/>
      <c r="E122" s="143"/>
      <c r="F122" s="144"/>
      <c r="G122" s="39">
        <v>1.0000000000000011E-11</v>
      </c>
      <c r="H122" s="66">
        <f t="shared" si="3"/>
        <v>17409.974459250207</v>
      </c>
      <c r="I122" s="40">
        <f t="shared" si="4"/>
        <v>8429.6086855317135</v>
      </c>
      <c r="J122" s="7"/>
      <c r="K122" s="7"/>
      <c r="L122" s="7"/>
      <c r="M122" s="7"/>
      <c r="N122" s="7"/>
    </row>
    <row r="123" spans="1:14" x14ac:dyDescent="0.2">
      <c r="A123" s="37">
        <v>97</v>
      </c>
      <c r="B123" s="142"/>
      <c r="C123" s="143"/>
      <c r="D123" s="143"/>
      <c r="E123" s="143"/>
      <c r="F123" s="144"/>
      <c r="G123" s="39">
        <v>1.0000000000000011E-11</v>
      </c>
      <c r="H123" s="66">
        <f t="shared" si="3"/>
        <v>17593.226821979155</v>
      </c>
      <c r="I123" s="40">
        <f t="shared" si="4"/>
        <v>8612.8610482606618</v>
      </c>
      <c r="J123" s="7"/>
      <c r="K123" s="7"/>
      <c r="L123" s="7"/>
      <c r="M123" s="7"/>
      <c r="N123" s="7"/>
    </row>
    <row r="124" spans="1:14" x14ac:dyDescent="0.2">
      <c r="A124" s="37">
        <v>98</v>
      </c>
      <c r="B124" s="142"/>
      <c r="C124" s="143"/>
      <c r="D124" s="143"/>
      <c r="E124" s="143"/>
      <c r="F124" s="144"/>
      <c r="G124" s="39">
        <v>1.0000000000000011E-11</v>
      </c>
      <c r="H124" s="66">
        <f t="shared" si="3"/>
        <v>17776.479184708103</v>
      </c>
      <c r="I124" s="40">
        <f t="shared" si="4"/>
        <v>8796.1134109896102</v>
      </c>
      <c r="J124" s="7"/>
      <c r="K124" s="7"/>
      <c r="L124" s="7"/>
      <c r="M124" s="7"/>
      <c r="N124" s="7"/>
    </row>
    <row r="125" spans="1:14" x14ac:dyDescent="0.2">
      <c r="A125" s="37">
        <v>99</v>
      </c>
      <c r="B125" s="142"/>
      <c r="C125" s="143"/>
      <c r="D125" s="143"/>
      <c r="E125" s="143"/>
      <c r="F125" s="144"/>
      <c r="G125" s="39">
        <v>1.0000000000000011E-11</v>
      </c>
      <c r="H125" s="66">
        <f t="shared" si="3"/>
        <v>17959.731547437052</v>
      </c>
      <c r="I125" s="40">
        <f t="shared" si="4"/>
        <v>8979.3657737185586</v>
      </c>
    </row>
    <row r="126" spans="1:14" ht="13.5" thickBot="1" x14ac:dyDescent="0.25">
      <c r="A126" s="41">
        <v>100</v>
      </c>
      <c r="B126" s="145"/>
      <c r="C126" s="146"/>
      <c r="D126" s="146"/>
      <c r="E126" s="146"/>
      <c r="F126" s="147"/>
      <c r="G126" s="43">
        <v>1.0000000000000011E-11</v>
      </c>
      <c r="H126" s="67">
        <f t="shared" si="3"/>
        <v>18142.983910166</v>
      </c>
      <c r="I126" s="44">
        <f t="shared" si="4"/>
        <v>9162.6181364475069</v>
      </c>
    </row>
  </sheetData>
  <mergeCells count="1">
    <mergeCell ref="B85:F126"/>
  </mergeCells>
  <phoneticPr fontId="2" type="noConversion"/>
  <pageMargins left="0.75" right="0.75" top="1" bottom="1" header="0.5" footer="0.5"/>
  <pageSetup paperSize="9" orientation="portrait" horizontalDpi="240" verticalDpi="144"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vt:i4>
      </vt:variant>
    </vt:vector>
  </HeadingPairs>
  <TitlesOfParts>
    <vt:vector size="5" baseType="lpstr">
      <vt:lpstr>sheet1</vt:lpstr>
      <vt:lpstr>sheet2</vt:lpstr>
      <vt:lpstr>sheet3</vt:lpstr>
      <vt:lpstr>sheet4</vt:lpstr>
      <vt:lpstr>sheet5</vt:lpstr>
    </vt:vector>
  </TitlesOfParts>
  <Company>КТУ</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Лабораторная работа №_7: Исследование метода Ньютона при решении задачи №1.</dc:title>
  <dc:subject>Методы оптимизации</dc:subject>
  <dc:creator>ten_IG</dc:creator>
  <dc:description>15.08.2007 The file has been updated for POVT-05!</dc:description>
  <cp:lastModifiedBy>Акмарал</cp:lastModifiedBy>
  <cp:lastPrinted>2002-03-06T11:00:53Z</cp:lastPrinted>
  <dcterms:created xsi:type="dcterms:W3CDTF">2002-01-25T11:06:38Z</dcterms:created>
  <dcterms:modified xsi:type="dcterms:W3CDTF">2023-12-16T20:27:04Z</dcterms:modified>
  <cp:category>POVT-5-01</cp:category>
</cp:coreProperties>
</file>