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ЭтаКнига" defaultThemeVersion="124226"/>
  <mc:AlternateContent xmlns:mc="http://schemas.openxmlformats.org/markup-compatibility/2006">
    <mc:Choice Requires="x15">
      <x15ac:absPath xmlns:x15ac="http://schemas.microsoft.com/office/spreadsheetml/2010/11/ac" url="C:\Users\Акмарал\Desktop\3 КУРС ОСЕННИЙ СЕМЕСТР\МО\Лабораторные работы\Для сдачи вариант 2\"/>
    </mc:Choice>
  </mc:AlternateContent>
  <xr:revisionPtr revIDLastSave="0" documentId="13_ncr:1_{2E9CC2AF-82E2-4D9A-BF07-B6FDC976C500}" xr6:coauthVersionLast="47" xr6:coauthVersionMax="47" xr10:uidLastSave="{00000000-0000-0000-0000-000000000000}"/>
  <bookViews>
    <workbookView xWindow="-120" yWindow="-120" windowWidth="20730" windowHeight="11160" activeTab="2" xr2:uid="{00000000-000D-0000-FFFF-FFFF00000000}"/>
  </bookViews>
  <sheets>
    <sheet name="sheet1" sheetId="1" r:id="rId1"/>
    <sheet name="sheet2" sheetId="2" r:id="rId2"/>
    <sheet name="sheet3" sheetId="3" r:id="rId3"/>
    <sheet name="sheet4" sheetId="4" r:id="rId4"/>
    <sheet name="sheet5" sheetId="5" r:id="rId5"/>
  </sheet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S35" i="5" l="1"/>
  <c r="BS33" i="5"/>
  <c r="BS34" i="5"/>
  <c r="BS36" i="5"/>
  <c r="BS37" i="5"/>
  <c r="BS38" i="5"/>
  <c r="BS39" i="5"/>
  <c r="BS40" i="5"/>
  <c r="BS41" i="5"/>
  <c r="BS42" i="5"/>
  <c r="BS43" i="5"/>
  <c r="BS44" i="5"/>
  <c r="BS45" i="5"/>
  <c r="BS46" i="5"/>
  <c r="BS47" i="5"/>
  <c r="BS48" i="5"/>
  <c r="BS49" i="5"/>
  <c r="BS50" i="5"/>
  <c r="BS51" i="5"/>
  <c r="BS52" i="5"/>
  <c r="BS53" i="5"/>
  <c r="BS54" i="5"/>
  <c r="BS55" i="5"/>
  <c r="BS56" i="5"/>
  <c r="BS57" i="5"/>
  <c r="BS58" i="5"/>
  <c r="BS59" i="5"/>
  <c r="BS60" i="5"/>
  <c r="BS61" i="5"/>
  <c r="BS62" i="5"/>
  <c r="BS63" i="5"/>
  <c r="BS64" i="5"/>
  <c r="BS65" i="5"/>
  <c r="F5" i="3"/>
  <c r="J64" i="5"/>
  <c r="BS66" i="5" l="1"/>
  <c r="J22" i="5"/>
  <c r="J17" i="5"/>
  <c r="U7" i="4"/>
  <c r="V6" i="4"/>
  <c r="I94" i="5"/>
  <c r="I93" i="5"/>
  <c r="K104" i="1" l="1"/>
  <c r="J104" i="1" s="1"/>
  <c r="I104" i="1"/>
  <c r="K103" i="1"/>
  <c r="J103" i="1" s="1"/>
  <c r="I103" i="1"/>
  <c r="K102" i="1"/>
  <c r="J102" i="1"/>
  <c r="I102" i="1"/>
  <c r="K101" i="1"/>
  <c r="J101" i="1"/>
  <c r="I101" i="1"/>
  <c r="K100" i="1"/>
  <c r="J100" i="1" s="1"/>
  <c r="I100" i="1"/>
  <c r="K99" i="1"/>
  <c r="J99" i="1" s="1"/>
  <c r="I99" i="1"/>
  <c r="K98" i="1"/>
  <c r="J98" i="1" s="1"/>
  <c r="I98" i="1"/>
  <c r="K97" i="1"/>
  <c r="J97" i="1" s="1"/>
  <c r="I97" i="1"/>
  <c r="K96" i="1"/>
  <c r="J96" i="1" s="1"/>
  <c r="I96" i="1"/>
  <c r="K95" i="1"/>
  <c r="J95" i="1" s="1"/>
  <c r="I95" i="1"/>
  <c r="K94" i="1"/>
  <c r="J94" i="1"/>
  <c r="I94" i="1"/>
  <c r="K93" i="1"/>
  <c r="J93" i="1"/>
  <c r="I93" i="1"/>
  <c r="K92" i="1"/>
  <c r="J92" i="1" s="1"/>
  <c r="I92" i="1"/>
  <c r="K91" i="1"/>
  <c r="J91" i="1" s="1"/>
  <c r="I91" i="1"/>
  <c r="K90" i="1"/>
  <c r="J90" i="1" s="1"/>
  <c r="I90" i="1"/>
  <c r="K89" i="1"/>
  <c r="J89" i="1"/>
  <c r="I89" i="1"/>
  <c r="K88" i="1"/>
  <c r="J88" i="1" s="1"/>
  <c r="I88" i="1"/>
  <c r="K87" i="1"/>
  <c r="J87" i="1" s="1"/>
  <c r="I87" i="1"/>
  <c r="K86" i="1"/>
  <c r="J86" i="1"/>
  <c r="I86" i="1"/>
  <c r="K85" i="1"/>
  <c r="J85" i="1"/>
  <c r="I85" i="1"/>
  <c r="K84" i="1"/>
  <c r="J84" i="1" s="1"/>
  <c r="I84" i="1"/>
  <c r="K83" i="1"/>
  <c r="J83" i="1" s="1"/>
  <c r="I83" i="1"/>
  <c r="K82" i="1"/>
  <c r="J82" i="1" s="1"/>
  <c r="I82" i="1"/>
  <c r="K81" i="1"/>
  <c r="J81" i="1" s="1"/>
  <c r="I81" i="1"/>
  <c r="K80" i="1"/>
  <c r="J80" i="1" s="1"/>
  <c r="I80" i="1"/>
  <c r="K79" i="1"/>
  <c r="J79" i="1" s="1"/>
  <c r="I79" i="1"/>
  <c r="K78" i="1"/>
  <c r="J78" i="1"/>
  <c r="I78" i="1"/>
  <c r="K77" i="1"/>
  <c r="J77" i="1" s="1"/>
  <c r="I77" i="1"/>
  <c r="K76" i="1"/>
  <c r="J76" i="1" s="1"/>
  <c r="I76" i="1"/>
  <c r="K75" i="1"/>
  <c r="J75" i="1" s="1"/>
  <c r="I75" i="1"/>
  <c r="K74" i="1"/>
  <c r="J74" i="1" s="1"/>
  <c r="I74" i="1"/>
  <c r="K73" i="1"/>
  <c r="J73" i="1" s="1"/>
  <c r="I73" i="1"/>
  <c r="K72" i="1"/>
  <c r="J72" i="1" s="1"/>
  <c r="I72" i="1"/>
  <c r="K71" i="1"/>
  <c r="J71" i="1" s="1"/>
  <c r="I71" i="1"/>
  <c r="K70" i="1"/>
  <c r="J70" i="1" s="1"/>
  <c r="I70" i="1"/>
  <c r="K69" i="1"/>
  <c r="J69" i="1"/>
  <c r="I69" i="1"/>
  <c r="K68" i="1"/>
  <c r="J68" i="1" s="1"/>
  <c r="I68" i="1"/>
  <c r="K67" i="1"/>
  <c r="J67" i="1" s="1"/>
  <c r="I67" i="1"/>
  <c r="K66" i="1"/>
  <c r="J66" i="1" s="1"/>
  <c r="I66" i="1"/>
  <c r="K65" i="1"/>
  <c r="J65" i="1" s="1"/>
  <c r="I65" i="1"/>
  <c r="K64" i="1"/>
  <c r="J64" i="1" s="1"/>
  <c r="I64" i="1"/>
  <c r="K63" i="1"/>
  <c r="J63" i="1" s="1"/>
  <c r="I63" i="1"/>
  <c r="K62" i="1"/>
  <c r="J62" i="1"/>
  <c r="I62" i="1"/>
  <c r="K61" i="1"/>
  <c r="J61" i="1" s="1"/>
  <c r="I61" i="1"/>
  <c r="K60" i="1"/>
  <c r="J60" i="1" s="1"/>
  <c r="I60" i="1"/>
  <c r="K59" i="1"/>
  <c r="J59" i="1" s="1"/>
  <c r="I59" i="1"/>
  <c r="K58" i="1"/>
  <c r="J58" i="1" s="1"/>
  <c r="I58" i="1"/>
  <c r="K57" i="1"/>
  <c r="J57" i="1" s="1"/>
  <c r="I57" i="1"/>
  <c r="K56" i="1"/>
  <c r="J56" i="1" s="1"/>
  <c r="I56" i="1"/>
  <c r="K55" i="1"/>
  <c r="J55" i="1" s="1"/>
  <c r="I55" i="1"/>
  <c r="K54" i="1"/>
  <c r="J54" i="1" s="1"/>
  <c r="I54" i="1"/>
  <c r="K53" i="1"/>
  <c r="J53" i="1" s="1"/>
  <c r="I53" i="1"/>
  <c r="K52" i="1"/>
  <c r="J52" i="1"/>
  <c r="I52" i="1"/>
  <c r="K51" i="1"/>
  <c r="J51" i="1" s="1"/>
  <c r="I51" i="1"/>
  <c r="K50" i="1"/>
  <c r="J50" i="1" s="1"/>
  <c r="I50" i="1"/>
  <c r="K49" i="1"/>
  <c r="J49" i="1" s="1"/>
  <c r="I49" i="1"/>
  <c r="K48" i="1"/>
  <c r="J48" i="1" s="1"/>
  <c r="I48" i="1"/>
  <c r="K47" i="1"/>
  <c r="J47" i="1" s="1"/>
  <c r="I47" i="1"/>
  <c r="K46" i="1"/>
  <c r="J46" i="1" s="1"/>
  <c r="I46" i="1"/>
  <c r="K45" i="1"/>
  <c r="J45" i="1"/>
  <c r="I45" i="1"/>
  <c r="K44" i="1"/>
  <c r="J44" i="1"/>
  <c r="I44" i="1"/>
  <c r="K43" i="1"/>
  <c r="J43" i="1"/>
  <c r="I43" i="1"/>
  <c r="K42" i="1"/>
  <c r="J42" i="1" s="1"/>
  <c r="I42" i="1"/>
  <c r="K41" i="1"/>
  <c r="J41" i="1" s="1"/>
  <c r="I41" i="1"/>
  <c r="K40" i="1"/>
  <c r="J40" i="1" s="1"/>
  <c r="I40" i="1"/>
  <c r="K39" i="1"/>
  <c r="J39" i="1" s="1"/>
  <c r="I39" i="1"/>
  <c r="K38" i="1"/>
  <c r="J38" i="1"/>
  <c r="I38" i="1"/>
  <c r="K37" i="1"/>
  <c r="J37" i="1" s="1"/>
  <c r="I37" i="1"/>
  <c r="K36" i="1"/>
  <c r="J36" i="1"/>
  <c r="I36" i="1"/>
  <c r="K35" i="1"/>
  <c r="J35" i="1" s="1"/>
  <c r="I35" i="1"/>
  <c r="K34" i="1"/>
  <c r="J34" i="1" s="1"/>
  <c r="I34" i="1"/>
  <c r="K33" i="1"/>
  <c r="J33" i="1" s="1"/>
  <c r="I33" i="1"/>
  <c r="K32" i="1"/>
  <c r="J32" i="1" s="1"/>
  <c r="I32" i="1"/>
  <c r="K31" i="1"/>
  <c r="J31" i="1" s="1"/>
  <c r="I31" i="1"/>
  <c r="K30" i="1"/>
  <c r="J30" i="1" s="1"/>
  <c r="I30" i="1"/>
  <c r="K29" i="1"/>
  <c r="J29" i="1"/>
  <c r="I29" i="1"/>
  <c r="K28" i="1"/>
  <c r="J28" i="1"/>
  <c r="I28" i="1"/>
  <c r="K27" i="1"/>
  <c r="J27" i="1"/>
  <c r="I27" i="1"/>
  <c r="K26" i="1"/>
  <c r="J26" i="1" s="1"/>
  <c r="I26" i="1"/>
  <c r="K25" i="1"/>
  <c r="J25" i="1" s="1"/>
  <c r="I25" i="1"/>
  <c r="K24" i="1"/>
  <c r="J24" i="1" s="1"/>
  <c r="I24" i="1"/>
  <c r="K23" i="1"/>
  <c r="J23" i="1" s="1"/>
  <c r="I23" i="1"/>
  <c r="K22" i="1"/>
  <c r="J22" i="1"/>
  <c r="I22" i="1"/>
  <c r="K21" i="1"/>
  <c r="J21" i="1" s="1"/>
  <c r="I21" i="1"/>
  <c r="K20" i="1"/>
  <c r="J20" i="1"/>
  <c r="I20" i="1"/>
  <c r="K19" i="1"/>
  <c r="J19" i="1" s="1"/>
  <c r="I19" i="1"/>
  <c r="K18" i="1"/>
  <c r="J18" i="1" s="1"/>
  <c r="I18" i="1"/>
  <c r="K17" i="1"/>
  <c r="J17" i="1" s="1"/>
  <c r="I17" i="1"/>
  <c r="K16" i="1"/>
  <c r="J16" i="1" s="1"/>
  <c r="I16" i="1"/>
  <c r="K15" i="1"/>
  <c r="J15" i="1" s="1"/>
  <c r="I15" i="1"/>
  <c r="K14" i="1"/>
  <c r="J14" i="1" s="1"/>
  <c r="I14" i="1"/>
  <c r="K13" i="1"/>
  <c r="J13" i="1"/>
  <c r="I13" i="1"/>
  <c r="K12" i="1"/>
  <c r="J12" i="1"/>
  <c r="I12" i="1"/>
  <c r="K11" i="1"/>
  <c r="J11" i="1"/>
  <c r="I11" i="1"/>
  <c r="K10" i="1"/>
  <c r="J10" i="1" s="1"/>
  <c r="I10" i="1"/>
  <c r="K9" i="1"/>
  <c r="J9" i="1" s="1"/>
  <c r="I9" i="1"/>
  <c r="K8" i="1"/>
  <c r="J8" i="1" s="1"/>
  <c r="I8" i="1"/>
  <c r="K7" i="1"/>
  <c r="J7" i="1" s="1"/>
  <c r="I7" i="1"/>
  <c r="K6" i="1"/>
  <c r="J6" i="1"/>
  <c r="I6" i="1"/>
  <c r="K5" i="1"/>
  <c r="J5" i="1" s="1"/>
  <c r="I5" i="1"/>
  <c r="K4" i="1"/>
  <c r="J4" i="1"/>
  <c r="I4" i="1"/>
  <c r="J5" i="4" l="1"/>
  <c r="M5" i="4"/>
  <c r="J182" i="5" l="1"/>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I92"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G27" i="5"/>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J26" i="5"/>
  <c r="J21" i="5"/>
  <c r="J20" i="5"/>
  <c r="J19" i="5"/>
  <c r="J18" i="5"/>
  <c r="J16" i="5"/>
  <c r="J15" i="5"/>
  <c r="J14" i="5"/>
  <c r="J13" i="5"/>
  <c r="J12" i="5"/>
  <c r="J93" i="5" l="1"/>
  <c r="J92" i="5"/>
  <c r="I91" i="5"/>
  <c r="I95" i="5" l="1"/>
  <c r="J94" i="5"/>
  <c r="J91" i="5"/>
  <c r="I90" i="5"/>
  <c r="L5" i="4"/>
  <c r="E5" i="3"/>
  <c r="D5" i="2"/>
  <c r="B6" i="2" s="1"/>
  <c r="C5" i="2"/>
  <c r="E5" i="2"/>
  <c r="I89" i="5" l="1"/>
  <c r="J90" i="5"/>
  <c r="I96" i="5"/>
  <c r="J95" i="5"/>
  <c r="C6" i="2"/>
  <c r="D6" i="2" s="1"/>
  <c r="B7" i="2" s="1"/>
  <c r="E6" i="2"/>
  <c r="I97" i="5" l="1"/>
  <c r="J96" i="5"/>
  <c r="J89" i="5"/>
  <c r="I88" i="5"/>
  <c r="C7" i="2"/>
  <c r="D7" i="2" s="1"/>
  <c r="B8" i="2" s="1"/>
  <c r="E7" i="2"/>
  <c r="J97" i="5" l="1"/>
  <c r="I98" i="5"/>
  <c r="J88" i="5"/>
  <c r="I87" i="5"/>
  <c r="E8" i="2"/>
  <c r="C8" i="2"/>
  <c r="D8" i="2" s="1"/>
  <c r="B9" i="2" s="1"/>
  <c r="I86" i="5" l="1"/>
  <c r="J87" i="5"/>
  <c r="I99" i="5"/>
  <c r="J98" i="5"/>
  <c r="E9" i="2"/>
  <c r="C9" i="2"/>
  <c r="D9" i="2" s="1"/>
  <c r="B10" i="2" s="1"/>
  <c r="I100" i="5" l="1"/>
  <c r="J99" i="5"/>
  <c r="J86" i="5"/>
  <c r="I85" i="5"/>
  <c r="E10" i="2"/>
  <c r="C10" i="2"/>
  <c r="D10" i="2" s="1"/>
  <c r="B11" i="2" s="1"/>
  <c r="I101" i="5" l="1"/>
  <c r="J100" i="5"/>
  <c r="I84" i="5"/>
  <c r="J85" i="5"/>
  <c r="C11" i="2"/>
  <c r="D11" i="2" s="1"/>
  <c r="B12" i="2" s="1"/>
  <c r="E11" i="2"/>
  <c r="I102" i="5" l="1"/>
  <c r="J101" i="5"/>
  <c r="J84" i="5"/>
  <c r="I83" i="5"/>
  <c r="E12" i="2"/>
  <c r="C12" i="2"/>
  <c r="D12" i="2" s="1"/>
  <c r="B13" i="2" s="1"/>
  <c r="J102" i="5" l="1"/>
  <c r="I103" i="5"/>
  <c r="J83" i="5"/>
  <c r="I82" i="5"/>
  <c r="E13" i="2"/>
  <c r="C13" i="2"/>
  <c r="D13" i="2" s="1"/>
  <c r="B14" i="2" s="1"/>
  <c r="I81" i="5" l="1"/>
  <c r="J82" i="5"/>
  <c r="I104" i="5"/>
  <c r="J103" i="5"/>
  <c r="C14" i="2"/>
  <c r="D14" i="2" s="1"/>
  <c r="B15" i="2" s="1"/>
  <c r="E14" i="2"/>
  <c r="J81" i="5" l="1"/>
  <c r="I80" i="5"/>
  <c r="I105" i="5"/>
  <c r="J104" i="5"/>
  <c r="C15" i="2"/>
  <c r="D15" i="2" s="1"/>
  <c r="B16" i="2" s="1"/>
  <c r="E15" i="2"/>
  <c r="J105" i="5" l="1"/>
  <c r="I106" i="5"/>
  <c r="J80" i="5"/>
  <c r="I79" i="5"/>
  <c r="E16" i="2"/>
  <c r="C16" i="2"/>
  <c r="D16" i="2" s="1"/>
  <c r="B17" i="2" s="1"/>
  <c r="I78" i="5" l="1"/>
  <c r="J79" i="5"/>
  <c r="I107" i="5"/>
  <c r="J106" i="5"/>
  <c r="E17" i="2"/>
  <c r="C17" i="2"/>
  <c r="D17" i="2" s="1"/>
  <c r="B18" i="2" s="1"/>
  <c r="J78" i="5" l="1"/>
  <c r="I77" i="5"/>
  <c r="I108" i="5"/>
  <c r="J107" i="5"/>
  <c r="E18" i="2"/>
  <c r="C18" i="2"/>
  <c r="D18" i="2" s="1"/>
  <c r="B19" i="2" s="1"/>
  <c r="J108" i="5" l="1"/>
  <c r="I109" i="5"/>
  <c r="I76" i="5"/>
  <c r="J77" i="5"/>
  <c r="E19" i="2"/>
  <c r="C19" i="2"/>
  <c r="D19" i="2" s="1"/>
  <c r="B20" i="2" s="1"/>
  <c r="J76" i="5" l="1"/>
  <c r="I75" i="5"/>
  <c r="I110" i="5"/>
  <c r="J109" i="5"/>
  <c r="E20" i="2"/>
  <c r="C20" i="2"/>
  <c r="D20" i="2" s="1"/>
  <c r="B21" i="2" s="1"/>
  <c r="I74" i="5" l="1"/>
  <c r="J75" i="5"/>
  <c r="J110" i="5"/>
  <c r="I111" i="5"/>
  <c r="C21" i="2"/>
  <c r="D21" i="2" s="1"/>
  <c r="B22" i="2" s="1"/>
  <c r="E21" i="2"/>
  <c r="I112" i="5" l="1"/>
  <c r="J111" i="5"/>
  <c r="I73" i="5"/>
  <c r="J74" i="5"/>
  <c r="C22" i="2"/>
  <c r="D22" i="2" s="1"/>
  <c r="B23" i="2" s="1"/>
  <c r="E22" i="2"/>
  <c r="J73" i="5" l="1"/>
  <c r="I72" i="5"/>
  <c r="I113" i="5"/>
  <c r="J112" i="5"/>
  <c r="C23" i="2"/>
  <c r="D23" i="2" s="1"/>
  <c r="B24" i="2" s="1"/>
  <c r="E23" i="2"/>
  <c r="J113" i="5" l="1"/>
  <c r="I114" i="5"/>
  <c r="J72" i="5"/>
  <c r="I71" i="5"/>
  <c r="E24" i="2"/>
  <c r="C24" i="2"/>
  <c r="D24" i="2" s="1"/>
  <c r="B25" i="2" s="1"/>
  <c r="I115" i="5" l="1"/>
  <c r="J114" i="5"/>
  <c r="I70" i="5"/>
  <c r="J71" i="5"/>
  <c r="E25" i="2"/>
  <c r="C25" i="2"/>
  <c r="D25" i="2" s="1"/>
  <c r="B26" i="2" s="1"/>
  <c r="J70" i="5" l="1"/>
  <c r="I69" i="5"/>
  <c r="I116" i="5"/>
  <c r="J115" i="5"/>
  <c r="E26" i="2"/>
  <c r="C26" i="2"/>
  <c r="D26" i="2" s="1"/>
  <c r="B27" i="2" s="1"/>
  <c r="I117" i="5" l="1"/>
  <c r="J116" i="5"/>
  <c r="I68" i="5"/>
  <c r="J69" i="5"/>
  <c r="C27" i="2"/>
  <c r="D27" i="2" s="1"/>
  <c r="B28" i="2" s="1"/>
  <c r="E27" i="2"/>
  <c r="J68" i="5" l="1"/>
  <c r="I67" i="5"/>
  <c r="J117" i="5"/>
  <c r="I118" i="5"/>
  <c r="E28" i="2"/>
  <c r="C28" i="2"/>
  <c r="D28" i="2" s="1"/>
  <c r="B29" i="2" s="1"/>
  <c r="J118" i="5" l="1"/>
  <c r="I119" i="5"/>
  <c r="J67" i="5"/>
  <c r="I66" i="5"/>
  <c r="E29" i="2"/>
  <c r="C29" i="2"/>
  <c r="D29" i="2" s="1"/>
  <c r="B30" i="2" s="1"/>
  <c r="I65" i="5" l="1"/>
  <c r="J66" i="5"/>
  <c r="I120" i="5"/>
  <c r="J120" i="5" s="1"/>
  <c r="J119" i="5"/>
  <c r="C30" i="2"/>
  <c r="D30" i="2" s="1"/>
  <c r="B31" i="2" s="1"/>
  <c r="E30" i="2"/>
  <c r="J65" i="5" l="1"/>
  <c r="I64" i="5"/>
  <c r="C31" i="2"/>
  <c r="D31" i="2" s="1"/>
  <c r="B32" i="2" s="1"/>
  <c r="E31" i="2"/>
  <c r="I63" i="5" l="1"/>
  <c r="K5" i="4" s="1"/>
  <c r="E32" i="2"/>
  <c r="C32" i="2"/>
  <c r="D32" i="2" s="1"/>
  <c r="B33" i="2" s="1"/>
  <c r="J63" i="5" l="1"/>
  <c r="E33" i="2"/>
  <c r="C33" i="2"/>
  <c r="D33" i="2" s="1"/>
  <c r="B34" i="2" s="1"/>
  <c r="E34" i="2" l="1"/>
  <c r="C34" i="2"/>
  <c r="D34" i="2" s="1"/>
  <c r="B35" i="2" s="1"/>
  <c r="C35" i="2" l="1"/>
  <c r="D35" i="2" s="1"/>
  <c r="E35" i="2"/>
  <c r="B5" i="3"/>
  <c r="C5" i="3"/>
  <c r="G5" i="3"/>
  <c r="I5" i="3"/>
  <c r="J5" i="3"/>
  <c r="B6" i="3"/>
  <c r="C6" i="3"/>
  <c r="D6" i="3"/>
  <c r="I6" i="3"/>
  <c r="B7" i="3"/>
  <c r="C7" i="3"/>
  <c r="D7" i="3"/>
  <c r="I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B26" i="3"/>
  <c r="C26" i="3"/>
  <c r="D26" i="3"/>
  <c r="B27" i="3"/>
  <c r="C27" i="3"/>
  <c r="D27" i="3"/>
  <c r="B28" i="3"/>
  <c r="C28" i="3"/>
  <c r="D28" i="3"/>
  <c r="B29" i="3"/>
  <c r="C29" i="3"/>
  <c r="D29" i="3"/>
  <c r="B30" i="3"/>
  <c r="C30" i="3"/>
  <c r="D30" i="3"/>
  <c r="B31" i="3"/>
  <c r="C31" i="3"/>
  <c r="D31" i="3"/>
  <c r="B32" i="3"/>
  <c r="C32" i="3"/>
  <c r="D32" i="3"/>
  <c r="B33" i="3"/>
  <c r="C33" i="3"/>
  <c r="D33" i="3"/>
  <c r="B34" i="3"/>
  <c r="C34" i="3"/>
  <c r="D34" i="3"/>
  <c r="B35" i="3"/>
  <c r="C35" i="3"/>
  <c r="D35" i="3"/>
  <c r="B36" i="3"/>
  <c r="C36" i="3"/>
  <c r="D36" i="3"/>
  <c r="B37" i="3"/>
  <c r="C37" i="3"/>
  <c r="D37" i="3"/>
  <c r="B38" i="3"/>
  <c r="C38" i="3"/>
  <c r="D38" i="3"/>
  <c r="B39" i="3"/>
  <c r="C39" i="3"/>
  <c r="D39" i="3"/>
  <c r="B40" i="3"/>
  <c r="C40" i="3"/>
  <c r="D40" i="3"/>
  <c r="B41" i="3"/>
  <c r="C41" i="3"/>
  <c r="D41" i="3"/>
  <c r="B42" i="3"/>
  <c r="C42" i="3"/>
  <c r="D42" i="3"/>
  <c r="B43" i="3"/>
  <c r="C43" i="3"/>
  <c r="D43" i="3"/>
  <c r="B44" i="3"/>
  <c r="C44" i="3"/>
  <c r="D44" i="3"/>
  <c r="A7" i="4"/>
  <c r="B7" i="4"/>
  <c r="C7" i="4"/>
  <c r="D7" i="4"/>
  <c r="E7" i="4"/>
  <c r="F7" i="4"/>
  <c r="G7" i="4"/>
  <c r="H7" i="4"/>
  <c r="I7" i="4"/>
  <c r="J7" i="4"/>
  <c r="K7" i="4"/>
  <c r="L7" i="4"/>
  <c r="M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Ten</author>
    <author>ten_IG</author>
    <author>Admin</author>
  </authors>
  <commentList>
    <comment ref="A3" authorId="0" shapeId="0" xr:uid="{00000000-0006-0000-0000-00000100000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xr:uid="{00000000-0006-0000-0000-000002000000}">
      <text>
        <r>
          <rPr>
            <b/>
            <sz val="8"/>
            <color indexed="81"/>
            <rFont val="Tahoma"/>
            <family val="2"/>
            <charset val="204"/>
          </rPr>
          <t>ten_IG:</t>
        </r>
        <r>
          <rPr>
            <sz val="8"/>
            <color indexed="81"/>
            <rFont val="Tahoma"/>
            <family val="2"/>
            <charset val="204"/>
          </rPr>
          <t xml:space="preserve">
Себестоимость//Начальная точка поиска в лаб №1, 2//
Cost//Original Searching Point in Labs no.1, 2</t>
        </r>
      </text>
    </comment>
    <comment ref="F3" authorId="1" shapeId="0" xr:uid="{00000000-0006-0000-0000-00000300000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xr:uid="{00000000-0006-0000-0000-00000400000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xr:uid="{00000000-0006-0000-0000-000005000000}">
      <text>
        <r>
          <rPr>
            <b/>
            <sz val="8"/>
            <color indexed="81"/>
            <rFont val="Tahoma"/>
            <family val="2"/>
            <charset val="204"/>
          </rPr>
          <t>ten_IG:</t>
        </r>
        <r>
          <rPr>
            <sz val="8"/>
            <color indexed="81"/>
            <rFont val="Tahoma"/>
            <family val="2"/>
            <charset val="204"/>
          </rPr>
          <t xml:space="preserve">
Solution of odds labs // Решение для нечетных задач</t>
        </r>
      </text>
    </comment>
    <comment ref="J3" authorId="1" shapeId="0" xr:uid="{00000000-0006-0000-0000-000006000000}">
      <text>
        <r>
          <rPr>
            <b/>
            <sz val="8"/>
            <color indexed="81"/>
            <rFont val="Tahoma"/>
            <family val="2"/>
            <charset val="204"/>
          </rPr>
          <t>ten_IG:</t>
        </r>
        <r>
          <rPr>
            <sz val="8"/>
            <color indexed="81"/>
            <rFont val="Tahoma"/>
            <family val="2"/>
            <charset val="204"/>
          </rPr>
          <t xml:space="preserve">
Solution of even labs // Решение для четных задач</t>
        </r>
      </text>
    </comment>
    <comment ref="H48" authorId="2" shapeId="0" xr:uid="{00000000-0006-0000-0000-000007000000}">
      <text>
        <r>
          <rPr>
            <b/>
            <sz val="9"/>
            <color indexed="81"/>
            <rFont val="Tahoma"/>
            <family val="2"/>
            <charset val="204"/>
          </rPr>
          <t>Admin:</t>
        </r>
        <r>
          <rPr>
            <sz val="9"/>
            <color indexed="81"/>
            <rFont val="Tahoma"/>
            <family val="2"/>
            <charset val="204"/>
          </rPr>
          <t xml:space="preserve">
The list of students is appeared at 2021.09.20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G4" authorId="0" shapeId="0" xr:uid="{00000000-0006-0000-0100-000001000000}">
      <text>
        <r>
          <rPr>
            <b/>
            <sz val="8"/>
            <color indexed="81"/>
            <rFont val="Tahoma"/>
            <family val="2"/>
            <charset val="204"/>
          </rPr>
          <t xml:space="preserve">ten_IG:
</t>
        </r>
        <r>
          <rPr>
            <sz val="8"/>
            <color indexed="81"/>
            <rFont val="Tahoma"/>
            <family val="2"/>
            <charset val="204"/>
          </rPr>
          <t>The Pocret search method can be haved any Initial step size.
Because it's value can be choiced by best for the optimization problem.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L4" authorId="0" shapeId="0" xr:uid="{00000000-0006-0000-0300-000001000000}">
      <text>
        <r>
          <rPr>
            <b/>
            <sz val="8"/>
            <color indexed="81"/>
            <rFont val="Tahoma"/>
            <family val="2"/>
            <charset val="204"/>
          </rPr>
          <t>ten_IG:</t>
        </r>
        <r>
          <rPr>
            <sz val="8"/>
            <color indexed="81"/>
            <rFont val="Tahoma"/>
            <family val="2"/>
            <charset val="204"/>
          </rPr>
          <t xml:space="preserve">
В методе поразрядного приближения значение параметра h может  быть любым.</t>
        </r>
      </text>
    </comment>
    <comment ref="A5" authorId="0" shapeId="0" xr:uid="{00000000-0006-0000-0300-00000200000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 ref="G6" authorId="0" shapeId="0" xr:uid="{00000000-0006-0000-0300-000003000000}">
      <text>
        <r>
          <rPr>
            <b/>
            <sz val="8"/>
            <color indexed="81"/>
            <rFont val="Tahoma"/>
            <family val="2"/>
            <charset val="204"/>
          </rPr>
          <t>ten_IG:</t>
        </r>
        <r>
          <rPr>
            <sz val="8"/>
            <color indexed="81"/>
            <rFont val="Tahoma"/>
            <family val="2"/>
            <charset val="204"/>
          </rPr>
          <t xml:space="preserve">
Для продолжения поиска надо щелкать по кнопке &lt;F9&gt;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ten_IG</author>
    <author>Ten</author>
    <author>Иосиф</author>
  </authors>
  <commentList>
    <comment ref="G11" authorId="0" shapeId="0" xr:uid="{00000000-0006-0000-0400-000001000000}">
      <text>
        <r>
          <rPr>
            <b/>
            <sz val="8"/>
            <color indexed="81"/>
            <rFont val="Tahoma"/>
            <family val="2"/>
            <charset val="204"/>
          </rPr>
          <t>ten_IG:</t>
        </r>
        <r>
          <rPr>
            <sz val="8"/>
            <color indexed="81"/>
            <rFont val="Tahoma"/>
            <family val="2"/>
            <charset val="204"/>
          </rPr>
          <t xml:space="preserve">
В методе поразрядного приближения значение параметра h может  быть любым.</t>
        </r>
      </text>
    </comment>
    <comment ref="I24" authorId="1" shapeId="0" xr:uid="{00000000-0006-0000-0400-000002000000}">
      <text>
        <r>
          <rPr>
            <b/>
            <sz val="8"/>
            <color indexed="81"/>
            <rFont val="Tahoma"/>
            <family val="2"/>
            <charset val="204"/>
          </rPr>
          <t>Ten:</t>
        </r>
        <r>
          <rPr>
            <sz val="8"/>
            <color indexed="81"/>
            <rFont val="Tahoma"/>
            <family val="2"/>
            <charset val="204"/>
          </rPr>
          <t xml:space="preserve">
Величина шага изменения значения параметра "Начальный шаг поиска" h0 в диапазоне ячеек Sheet5!G26:G59.</t>
        </r>
      </text>
    </comment>
    <comment ref="G25" authorId="0" shapeId="0" xr:uid="{00000000-0006-0000-0400-000003000000}">
      <text>
        <r>
          <rPr>
            <b/>
            <sz val="8"/>
            <color indexed="81"/>
            <rFont val="Tahoma"/>
            <family val="2"/>
            <charset val="204"/>
          </rPr>
          <t>ten_IG:</t>
        </r>
        <r>
          <rPr>
            <sz val="8"/>
            <color indexed="81"/>
            <rFont val="Tahoma"/>
            <family val="2"/>
            <charset val="204"/>
          </rPr>
          <t xml:space="preserve">
В методе поразрядного приближения значение параметра h может  быть любым.</t>
        </r>
      </text>
    </comment>
    <comment ref="I61" authorId="1" shapeId="0" xr:uid="{00000000-0006-0000-0400-000004000000}">
      <text>
        <r>
          <rPr>
            <b/>
            <sz val="8"/>
            <color indexed="81"/>
            <rFont val="Tahoma"/>
            <family val="2"/>
            <charset val="204"/>
          </rPr>
          <t>Ten:</t>
        </r>
        <r>
          <rPr>
            <sz val="8"/>
            <color indexed="81"/>
            <rFont val="Tahoma"/>
            <family val="2"/>
            <charset val="204"/>
          </rPr>
          <t xml:space="preserve">
Величина шага изменения значения параметра "Начальная цена" в диапазоне ячеек Sheet5!I63:I85.</t>
        </r>
      </text>
    </comment>
    <comment ref="G62" authorId="0" shapeId="0" xr:uid="{00000000-0006-0000-0400-000005000000}">
      <text>
        <r>
          <rPr>
            <b/>
            <sz val="8"/>
            <color indexed="81"/>
            <rFont val="Tahoma"/>
            <family val="2"/>
            <charset val="204"/>
          </rPr>
          <t>ten_IG:</t>
        </r>
        <r>
          <rPr>
            <sz val="8"/>
            <color indexed="81"/>
            <rFont val="Tahoma"/>
            <family val="2"/>
            <charset val="204"/>
          </rPr>
          <t xml:space="preserve">
В методе поразрядного приближения значение параметра h может  быть любым.</t>
        </r>
      </text>
    </comment>
    <comment ref="I93" authorId="2" shapeId="0" xr:uid="{00000000-0006-0000-0400-000006000000}">
      <text>
        <r>
          <rPr>
            <b/>
            <sz val="9"/>
            <color indexed="81"/>
            <rFont val="Tahoma"/>
            <family val="2"/>
            <charset val="204"/>
          </rPr>
          <t>Иосиф:</t>
        </r>
        <r>
          <rPr>
            <sz val="9"/>
            <color indexed="81"/>
            <rFont val="Tahoma"/>
            <family val="2"/>
            <charset val="204"/>
          </rPr>
          <t xml:space="preserve">
Here the solution of problem must be inserted.</t>
        </r>
      </text>
    </comment>
    <comment ref="G123" authorId="0" shapeId="0" xr:uid="{00000000-0006-0000-0400-000007000000}">
      <text>
        <r>
          <rPr>
            <b/>
            <sz val="8"/>
            <color indexed="81"/>
            <rFont val="Tahoma"/>
            <family val="2"/>
            <charset val="204"/>
          </rPr>
          <t>ten_IG:</t>
        </r>
        <r>
          <rPr>
            <sz val="8"/>
            <color indexed="81"/>
            <rFont val="Tahoma"/>
            <family val="2"/>
            <charset val="204"/>
          </rPr>
          <t xml:space="preserve">
В методе поразрядного приближения значение параметра h может  быть любым.</t>
        </r>
      </text>
    </comment>
  </commentList>
</comments>
</file>

<file path=xl/sharedStrings.xml><?xml version="1.0" encoding="utf-8"?>
<sst xmlns="http://schemas.openxmlformats.org/spreadsheetml/2006/main" count="155" uniqueCount="108">
  <si>
    <t>Параметры модели рынка для лабораторных работ по Методам оптимизации</t>
  </si>
  <si>
    <t>№</t>
  </si>
  <si>
    <t>Это параметры для примера</t>
  </si>
  <si>
    <t>Цена</t>
  </si>
  <si>
    <t>Спрос</t>
  </si>
  <si>
    <t>Прибыль</t>
  </si>
  <si>
    <t>N</t>
  </si>
  <si>
    <t>Оптимальная Цена</t>
  </si>
  <si>
    <t xml:space="preserve"> Оптимальная Прибыль</t>
  </si>
  <si>
    <t>Начальная цена</t>
  </si>
  <si>
    <t>Оптимальный Спрос</t>
  </si>
  <si>
    <t>Оптимальный Кредит</t>
  </si>
  <si>
    <t>Задача №1: Найти максимум прибыли путем варьирования ценой рынка без учета ограничения на величину кредита.</t>
  </si>
  <si>
    <t>Прибыль=Спрос*(Цена-Себестоимость); Спрос=A/(Цена+Цена*B)^(2*D); Кредит=Себестоимость*Спрос.</t>
  </si>
  <si>
    <t>Количество итераций</t>
  </si>
  <si>
    <t>Допустимая Погрешность</t>
  </si>
  <si>
    <t>Оптимальная цена</t>
  </si>
  <si>
    <t>Состояние процесса поиска</t>
  </si>
  <si>
    <t>Кредит</t>
  </si>
  <si>
    <t>Выбор начальной цены</t>
  </si>
  <si>
    <t>В исходное состояние</t>
  </si>
  <si>
    <t>Пуск программы</t>
  </si>
  <si>
    <t>Номер итерации</t>
  </si>
  <si>
    <r>
      <t xml:space="preserve">Лабораторная работа №_5: Исследование </t>
    </r>
    <r>
      <rPr>
        <b/>
        <i/>
        <sz val="14"/>
        <rFont val="Arial Cyr"/>
        <charset val="204"/>
      </rPr>
      <t>метода поразрядного приближения</t>
    </r>
    <r>
      <rPr>
        <b/>
        <sz val="10"/>
        <rFont val="Arial Cyr"/>
        <charset val="204"/>
      </rPr>
      <t xml:space="preserve"> при решении задачи №1.</t>
    </r>
  </si>
  <si>
    <t>Программа, реализующая метод поразрядного приближения</t>
  </si>
  <si>
    <t>R</t>
  </si>
  <si>
    <r>
      <t>h</t>
    </r>
    <r>
      <rPr>
        <vertAlign val="superscript"/>
        <sz val="10"/>
        <rFont val="Arial Cyr"/>
        <charset val="204"/>
      </rPr>
      <t>k</t>
    </r>
  </si>
  <si>
    <r>
      <t>h</t>
    </r>
    <r>
      <rPr>
        <vertAlign val="superscript"/>
        <sz val="10"/>
        <rFont val="Arial Cyr"/>
        <charset val="204"/>
      </rPr>
      <t>k+1</t>
    </r>
  </si>
  <si>
    <t>Размер области поска: Начальная цена- Оптимальная цена</t>
  </si>
  <si>
    <r>
      <t>Величина начального шага поиска h</t>
    </r>
    <r>
      <rPr>
        <vertAlign val="superscript"/>
        <sz val="8"/>
        <rFont val="Arial Cyr"/>
        <charset val="204"/>
      </rPr>
      <t>0</t>
    </r>
  </si>
  <si>
    <r>
      <t>Определить наилучшее значение параметров настройки R и h</t>
    </r>
    <r>
      <rPr>
        <vertAlign val="superscript"/>
        <sz val="10"/>
        <rFont val="Arial Cyr"/>
        <charset val="204"/>
      </rPr>
      <t>0</t>
    </r>
  </si>
  <si>
    <t>Исследовать зависимость Количества итераций от Допустимой Погрешности, Начального значения цены и Величины начального шага поиска и параметра R.</t>
  </si>
  <si>
    <t>Задание по лабораторной работе №5:</t>
  </si>
  <si>
    <t>Выбор допустимой погрешности</t>
  </si>
  <si>
    <t>Параметр R</t>
  </si>
  <si>
    <t>f(x)=[exp(x)-2-x]^2 .</t>
  </si>
  <si>
    <t>k</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</si>
  <si>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</si>
  <si>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</si>
  <si>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h</t>
    </r>
    <r>
      <rPr>
        <b/>
        <vertAlign val="superscript"/>
        <sz val="10"/>
        <rFont val="Arial"/>
        <family val="2"/>
        <charset val="204"/>
      </rPr>
      <t>k</t>
    </r>
  </si>
  <si>
    <r>
      <t>x</t>
    </r>
    <r>
      <rPr>
        <b/>
        <vertAlign val="superscript"/>
        <sz val="10"/>
        <rFont val="Arial"/>
        <family val="2"/>
        <charset val="204"/>
      </rPr>
      <t>k</t>
    </r>
    <r>
      <rPr>
        <b/>
        <sz val="10"/>
        <rFont val="Arial"/>
        <family val="2"/>
        <charset val="204"/>
      </rPr>
      <t>-x</t>
    </r>
    <r>
      <rPr>
        <b/>
        <vertAlign val="superscript"/>
        <sz val="10"/>
        <rFont val="Arial"/>
        <family val="2"/>
        <charset val="204"/>
      </rPr>
      <t>k-1</t>
    </r>
  </si>
  <si>
    <t>X*</t>
  </si>
  <si>
    <t>Упражнение 5.1 Использовать Алгоритм Поразрядного Приближения для поиска локального минимума заданной целевой функции</t>
  </si>
  <si>
    <t>Допустимая погрешность</t>
  </si>
  <si>
    <t>Размер начального шага</t>
  </si>
  <si>
    <t>alfa</t>
  </si>
  <si>
    <t>Задание по лабораторной работе:</t>
  </si>
  <si>
    <t>1. Исследовать зависимости Количества итераций от Допустимой Погрешности, Начального значения цены и Величины начального шага поиска и параметра R.</t>
  </si>
  <si>
    <t>2. Построить в виде графиков 5.1, 5.2, 5.3, 5.4 эти зависимости.</t>
  </si>
  <si>
    <r>
      <t>3. Определить наилучшее значение параметров настройки R и h</t>
    </r>
    <r>
      <rPr>
        <vertAlign val="superscript"/>
        <sz val="10"/>
        <rFont val="Arial Cyr"/>
        <charset val="204"/>
      </rPr>
      <t>0</t>
    </r>
  </si>
  <si>
    <r>
      <t>Величина начального шага поиска h</t>
    </r>
    <r>
      <rPr>
        <b/>
        <vertAlign val="superscript"/>
        <sz val="8"/>
        <rFont val="Arial Cyr"/>
      </rPr>
      <t>0</t>
    </r>
  </si>
  <si>
    <t>Колличество итераций</t>
  </si>
  <si>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</si>
  <si>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</si>
  <si>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</si>
  <si>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</si>
  <si>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List of sigma</t>
  </si>
  <si>
    <t>Min</t>
  </si>
  <si>
    <t>SIGMA</t>
  </si>
  <si>
    <t xml:space="preserve"> </t>
  </si>
  <si>
    <t>4. Определить скорость сходимости Метода Поразрядного приближения.</t>
  </si>
  <si>
    <r>
      <t xml:space="preserve">Таблица 5.4  Зависимость </t>
    </r>
    <r>
      <rPr>
        <b/>
        <i/>
        <sz val="10"/>
        <rFont val="Arial Cyr"/>
        <charset val="204"/>
      </rPr>
      <t>Количества итераций</t>
    </r>
    <r>
      <rPr>
        <b/>
        <sz val="10"/>
        <rFont val="Arial Cyr"/>
      </rPr>
      <t xml:space="preserve"> от </t>
    </r>
    <r>
      <rPr>
        <b/>
        <i/>
        <sz val="10"/>
        <rFont val="Arial Cyr"/>
        <charset val="204"/>
      </rPr>
      <t>Параметра R.</t>
    </r>
  </si>
  <si>
    <r>
      <t xml:space="preserve">Таблица 5.3  Зависимость </t>
    </r>
    <r>
      <rPr>
        <b/>
        <i/>
        <sz val="10"/>
        <rFont val="Arial Cyr"/>
        <charset val="204"/>
      </rPr>
      <t>Количества итераций</t>
    </r>
    <r>
      <rPr>
        <b/>
        <sz val="10"/>
        <rFont val="Arial Cyr"/>
      </rPr>
      <t xml:space="preserve"> от </t>
    </r>
    <r>
      <rPr>
        <b/>
        <i/>
        <sz val="10"/>
        <rFont val="Arial Cyr"/>
        <charset val="204"/>
      </rPr>
      <t>Начальной цены.</t>
    </r>
  </si>
  <si>
    <r>
      <t xml:space="preserve">Таблица 5.2  Зависимость </t>
    </r>
    <r>
      <rPr>
        <b/>
        <i/>
        <sz val="10"/>
        <rFont val="Arial Cyr"/>
        <charset val="204"/>
      </rPr>
      <t>Количества итераций</t>
    </r>
    <r>
      <rPr>
        <b/>
        <sz val="10"/>
        <rFont val="Arial Cyr"/>
      </rPr>
      <t xml:space="preserve"> от </t>
    </r>
    <r>
      <rPr>
        <b/>
        <i/>
        <sz val="10"/>
        <rFont val="Arial Cyr"/>
        <charset val="204"/>
      </rPr>
      <t>Величины начального шага поиска h</t>
    </r>
    <r>
      <rPr>
        <b/>
        <i/>
        <vertAlign val="superscript"/>
        <sz val="10"/>
        <rFont val="Arial Cyr"/>
        <charset val="204"/>
      </rPr>
      <t>0</t>
    </r>
    <r>
      <rPr>
        <b/>
        <i/>
        <sz val="10"/>
        <rFont val="Arial Cyr"/>
        <charset val="204"/>
      </rPr>
      <t>.</t>
    </r>
  </si>
  <si>
    <r>
      <t xml:space="preserve">Таблица 5.1  Зависимость </t>
    </r>
    <r>
      <rPr>
        <b/>
        <i/>
        <sz val="10"/>
        <rFont val="Arial Cyr"/>
        <charset val="204"/>
      </rPr>
      <t>Количества итераций</t>
    </r>
    <r>
      <rPr>
        <b/>
        <sz val="10"/>
        <rFont val="Arial Cyr"/>
      </rPr>
      <t xml:space="preserve"> от </t>
    </r>
    <r>
      <rPr>
        <b/>
        <i/>
        <sz val="10"/>
        <rFont val="Arial Cyr"/>
        <charset val="204"/>
      </rPr>
      <t>Допустимой погрешности.</t>
    </r>
  </si>
  <si>
    <r>
      <t xml:space="preserve"> h</t>
    </r>
    <r>
      <rPr>
        <b/>
        <vertAlign val="superscript"/>
        <sz val="10"/>
        <rFont val="Arial Cyr"/>
        <charset val="204"/>
      </rPr>
      <t>0</t>
    </r>
  </si>
  <si>
    <r>
      <t>h</t>
    </r>
    <r>
      <rPr>
        <vertAlign val="superscript"/>
        <sz val="10"/>
        <rFont val="Arial Cyr"/>
        <charset val="204"/>
      </rPr>
      <t>0</t>
    </r>
  </si>
  <si>
    <t>Таблица 5.6. Исследование влияния параметров настройки метода поразрядного приближения на скорость сходимости</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</si>
  <si>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</si>
  <si>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</si>
  <si>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</si>
  <si>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</si>
  <si>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</si>
  <si>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</si>
  <si>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</si>
  <si>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r>
      <t>abs((A</t>
    </r>
    <r>
      <rPr>
        <b/>
        <vertAlign val="subscript"/>
        <sz val="10"/>
        <rFont val="Arial Cyr"/>
        <charset val="204"/>
      </rPr>
      <t>k</t>
    </r>
    <r>
      <rPr>
        <b/>
        <sz val="10"/>
        <rFont val="Arial Cyr"/>
        <charset val="204"/>
      </rPr>
      <t>-A</t>
    </r>
    <r>
      <rPr>
        <b/>
        <vertAlign val="subscript"/>
        <sz val="10"/>
        <rFont val="Arial Cyr"/>
        <charset val="204"/>
      </rPr>
      <t>k+1</t>
    </r>
    <r>
      <rPr>
        <b/>
        <sz val="10"/>
        <rFont val="Arial Cyr"/>
        <charset val="204"/>
      </rPr>
      <t>)/A</t>
    </r>
    <r>
      <rPr>
        <b/>
        <vertAlign val="subscript"/>
        <sz val="10"/>
        <rFont val="Arial Cyr"/>
        <charset val="204"/>
      </rPr>
      <t>k</t>
    </r>
    <r>
      <rPr>
        <b/>
        <sz val="10"/>
        <rFont val="Arial Cyr"/>
        <charset val="204"/>
      </rPr>
      <t>)</t>
    </r>
  </si>
  <si>
    <t>Таблица 5.5 Исходные данные для определения скорости сходимости Метода поразрядного приближения</t>
  </si>
  <si>
    <r>
      <t>Таблица 5.6. Определение зависимости SIGMA от параметров настройки h</t>
    </r>
    <r>
      <rPr>
        <vertAlign val="superscript"/>
        <sz val="8"/>
        <rFont val="Times New Roman"/>
        <family val="1"/>
        <charset val="204"/>
      </rPr>
      <t>0</t>
    </r>
    <r>
      <rPr>
        <sz val="8"/>
        <rFont val="Times New Roman"/>
        <family val="1"/>
        <charset val="204"/>
      </rPr>
      <t xml:space="preserve"> и R Метода поразрядного приближения</t>
    </r>
  </si>
  <si>
    <t>Таблица 5.6. Определение скорости сходимости Метода поразрядного приближения</t>
  </si>
  <si>
    <t>Limit of Credit Value</t>
  </si>
  <si>
    <r>
      <t xml:space="preserve">Таблица 1: Распределение </t>
    </r>
    <r>
      <rPr>
        <b/>
        <i/>
        <sz val="10"/>
        <color rgb="FFFF0000"/>
        <rFont val="Arial Cyr"/>
        <charset val="204"/>
      </rPr>
      <t>Параметров моделей рынка Оптимизационных Задач</t>
    </r>
    <r>
      <rPr>
        <sz val="10"/>
        <rFont val="Arial Cyr"/>
        <charset val="204"/>
      </rPr>
      <t xml:space="preserve"> между студентами группы ПИ-3-21.</t>
    </r>
  </si>
  <si>
    <t>Фамилия, Имя студента группы ПИ-3-21</t>
  </si>
  <si>
    <t>Алтынбекова Нурзат</t>
  </si>
  <si>
    <t>Джанышбекова Акмарал</t>
  </si>
  <si>
    <t xml:space="preserve">Закиров Мустафа </t>
  </si>
  <si>
    <t>Копжашаров Азамат</t>
  </si>
  <si>
    <t>Русланов Адылбек</t>
  </si>
  <si>
    <t>Сагыналиев Таалайбек</t>
  </si>
  <si>
    <t>Урманбетов Султан</t>
  </si>
  <si>
    <t>Алтынбеков Даурен</t>
  </si>
  <si>
    <t>Ашымова Айжан</t>
  </si>
  <si>
    <t>Жайлообек уулу Улукбек</t>
  </si>
  <si>
    <t>Икрамов Абдул-Муним</t>
  </si>
  <si>
    <t>Муктарали уулу Дастан</t>
  </si>
  <si>
    <t>Пак Ксения</t>
  </si>
  <si>
    <t>Саркобенов Арстан</t>
  </si>
  <si>
    <t>Табылдиева Шоола</t>
  </si>
  <si>
    <t>Молдобеков Ислам</t>
  </si>
  <si>
    <t>Касенов Канагат</t>
  </si>
  <si>
    <t>Элеманов Бекжан</t>
  </si>
  <si>
    <t>Токторбаев Актан</t>
  </si>
  <si>
    <t>Аденов Дастан</t>
  </si>
  <si>
    <t>Каскеев Рамазан</t>
  </si>
  <si>
    <t>Конушбаев Султан</t>
  </si>
  <si>
    <t>h = 2</t>
  </si>
  <si>
    <t>h = 3</t>
  </si>
  <si>
    <t>разница</t>
  </si>
  <si>
    <r>
      <t>Вывод: Скорость сходимости Метода Поразрядного поиска зависит от значений параметров настройки h</t>
    </r>
    <r>
      <rPr>
        <vertAlign val="superscript"/>
        <sz val="14"/>
        <rFont val="Times New Roman"/>
        <family val="1"/>
        <charset val="204"/>
      </rPr>
      <t>0</t>
    </r>
    <r>
      <rPr>
        <sz val="14"/>
        <rFont val="Times New Roman"/>
        <family val="1"/>
        <charset val="204"/>
      </rPr>
      <t xml:space="preserve"> and R Метода Поразрядного Приближения (h</t>
    </r>
    <r>
      <rPr>
        <vertAlign val="superscript"/>
        <sz val="14"/>
        <rFont val="Times New Roman"/>
        <family val="1"/>
        <charset val="204"/>
      </rPr>
      <t>0</t>
    </r>
    <r>
      <rPr>
        <sz val="14"/>
        <rFont val="Times New Roman"/>
        <family val="1"/>
        <charset val="204"/>
      </rPr>
      <t>-размер начального шага поиска и параметра R-разрядность уменьшения ошибки от итерации). При значениях параметра h</t>
    </r>
    <r>
      <rPr>
        <vertAlign val="superscript"/>
        <sz val="14"/>
        <rFont val="Times New Roman"/>
        <family val="1"/>
        <charset val="204"/>
      </rPr>
      <t>0</t>
    </r>
    <r>
      <rPr>
        <sz val="14"/>
        <rFont val="Times New Roman"/>
        <family val="1"/>
        <charset val="204"/>
      </rPr>
      <t xml:space="preserve"> = 350 and R=10 обеспечивается квадратичная скорость сходимости Метода Поразрядного Приближения потому, что ряд {abs(X*-Xk+1)/abs(X*-Xk)^sigma} сходится к значению A=abs(X*-Xk+1)/abs(X*-Xk)^sigma= 0,00609800866571708  при k→∞  только для SIGMA =2.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</si>
</sst>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E+00"/>
    <numFmt numFmtId="166" formatCode="0.000000E+00"/>
    <numFmt numFmtId="167" formatCode="#,##0.000000"/>
  </numFmts>
  <fonts count="40" x14ac:knownFonts="1">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sz val="8"/>
      <color indexed="81"/>
      <name val="Tahoma"/>
      <family val="2"/>
      <charset val="204"/>
    </font>
    <font>
      <b/>
      <sz val="8"/>
      <color indexed="81"/>
      <name val="Tahoma"/>
      <family val="2"/>
      <charset val="204"/>
    </font>
    <font>
      <sz val="10"/>
      <name val="Arial Cyr"/>
      <charset val="204"/>
    </font>
    <font>
      <vertAlign val="superscript"/>
      <sz val="10"/>
      <name val="Arial Cyr"/>
      <charset val="204"/>
    </font>
    <font>
      <vertAlign val="superscript"/>
      <sz val="8"/>
      <name val="Arial Cyr"/>
      <charset val="204"/>
    </font>
    <font>
      <b/>
      <sz val="10"/>
      <name val="Arial"/>
      <family val="2"/>
      <charset val="204"/>
    </font>
    <font>
      <b/>
      <vertAlign val="superscript"/>
      <sz val="10"/>
      <name val="Arial"/>
      <family val="2"/>
      <charset val="204"/>
    </font>
    <font>
      <b/>
      <sz val="10"/>
      <name val="Arial"/>
      <family val="2"/>
      <charset val="204"/>
    </font>
    <font>
      <sz val="8"/>
      <name val="Arial"/>
      <family val="2"/>
      <charset val="204"/>
    </font>
    <font>
      <b/>
      <sz val="8"/>
      <name val="Arial Cyr"/>
      <charset val="204"/>
    </font>
    <font>
      <b/>
      <sz val="8"/>
      <name val="Arial"/>
      <family val="2"/>
    </font>
    <font>
      <b/>
      <sz val="10"/>
      <name val="Arial Cyr"/>
    </font>
    <font>
      <b/>
      <sz val="8"/>
      <name val="Arial Cyr"/>
    </font>
    <font>
      <b/>
      <vertAlign val="superscript"/>
      <sz val="8"/>
      <name val="Arial Cyr"/>
    </font>
    <font>
      <sz val="12"/>
      <name val="Times New Roman"/>
      <family val="1"/>
      <charset val="204"/>
    </font>
    <font>
      <b/>
      <i/>
      <sz val="10"/>
      <name val="Arial Cyr"/>
      <charset val="204"/>
    </font>
    <font>
      <b/>
      <i/>
      <vertAlign val="superscript"/>
      <sz val="10"/>
      <name val="Arial Cyr"/>
      <charset val="204"/>
    </font>
    <font>
      <b/>
      <vertAlign val="superscript"/>
      <sz val="10"/>
      <name val="Arial Cyr"/>
      <charset val="204"/>
    </font>
    <font>
      <sz val="10"/>
      <name val="Arial"/>
      <family val="2"/>
      <charset val="204"/>
    </font>
    <font>
      <sz val="10"/>
      <name val="Arial Cyr"/>
      <charset val="204"/>
    </font>
    <font>
      <sz val="14"/>
      <name val="Times New Roman"/>
      <family val="1"/>
      <charset val="204"/>
    </font>
    <font>
      <sz val="12"/>
      <name val="Arial Cyr"/>
      <charset val="204"/>
    </font>
    <font>
      <vertAlign val="subscript"/>
      <sz val="8"/>
      <name val="Arial Cyr"/>
      <charset val="204"/>
    </font>
    <font>
      <sz val="8"/>
      <name val="Times New Roman"/>
      <family val="1"/>
      <charset val="204"/>
    </font>
    <font>
      <vertAlign val="superscript"/>
      <sz val="8"/>
      <name val="Times New Roman"/>
      <family val="1"/>
      <charset val="204"/>
    </font>
    <font>
      <b/>
      <sz val="9"/>
      <color indexed="81"/>
      <name val="Tahoma"/>
      <family val="2"/>
      <charset val="204"/>
    </font>
    <font>
      <sz val="9"/>
      <color indexed="81"/>
      <name val="Tahoma"/>
      <family val="2"/>
      <charset val="204"/>
    </font>
    <font>
      <sz val="10"/>
      <color theme="1"/>
      <name val="Calibri"/>
      <family val="2"/>
      <scheme val="minor"/>
    </font>
    <font>
      <sz val="10"/>
      <name val="Calibri"/>
      <family val="2"/>
      <scheme val="minor"/>
    </font>
    <font>
      <sz val="10"/>
      <color theme="1"/>
      <name val="Times New Roman"/>
      <family val="1"/>
      <charset val="204"/>
    </font>
    <font>
      <b/>
      <i/>
      <sz val="10"/>
      <color rgb="FFFF0000"/>
      <name val="Arial Cyr"/>
      <charset val="204"/>
    </font>
    <font>
      <sz val="10"/>
      <color theme="1"/>
      <name val="Arial"/>
      <family val="2"/>
      <charset val="204"/>
    </font>
    <font>
      <vertAlign val="superscript"/>
      <sz val="14"/>
      <name val="Times New Roman"/>
      <family val="1"/>
      <charset val="204"/>
    </font>
    <font>
      <sz val="10"/>
      <color rgb="FF000000"/>
      <name val="Arial Cyr"/>
    </font>
  </fonts>
  <fills count="9">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theme="0"/>
        <bgColor indexed="64"/>
      </patternFill>
    </fill>
    <fill>
      <patternFill patternType="solid">
        <fgColor theme="8" tint="0.39997558519241921"/>
        <bgColor indexed="64"/>
      </patternFill>
    </fill>
    <fill>
      <patternFill patternType="solid">
        <fgColor theme="6" tint="0.59999389629810485"/>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207">
    <xf numFmtId="0" fontId="0" fillId="0" borderId="0" xfId="0"/>
    <xf numFmtId="0" fontId="0" fillId="0" borderId="1" xfId="0" applyBorder="1"/>
    <xf numFmtId="0" fontId="3" fillId="0" borderId="0" xfId="0" applyFont="1"/>
    <xf numFmtId="0" fontId="0" fillId="0" borderId="2" xfId="0" applyBorder="1"/>
    <xf numFmtId="0" fontId="0" fillId="0" borderId="3" xfId="0" applyBorder="1"/>
    <xf numFmtId="0" fontId="0" fillId="0" borderId="4" xfId="0" applyBorder="1"/>
    <xf numFmtId="0" fontId="2" fillId="0" borderId="5" xfId="0" applyFont="1" applyBorder="1" applyAlignment="1">
      <alignment wrapText="1"/>
    </xf>
    <xf numFmtId="0" fontId="2" fillId="0" borderId="6" xfId="0" applyFont="1" applyBorder="1" applyAlignment="1">
      <alignment wrapText="1"/>
    </xf>
    <xf numFmtId="0" fontId="0" fillId="0" borderId="7" xfId="0" applyBorder="1" applyAlignment="1" applyProtection="1">
      <protection locked="0"/>
    </xf>
    <xf numFmtId="164" fontId="0" fillId="0" borderId="8" xfId="0" applyNumberFormat="1" applyBorder="1" applyAlignment="1" applyProtection="1">
      <protection locked="0"/>
    </xf>
    <xf numFmtId="0" fontId="0" fillId="0" borderId="1" xfId="0" applyBorder="1" applyProtection="1">
      <protection locked="0"/>
    </xf>
    <xf numFmtId="0" fontId="0" fillId="0" borderId="0" xfId="0" applyProtection="1">
      <protection locked="0"/>
    </xf>
    <xf numFmtId="0" fontId="2" fillId="0" borderId="9" xfId="0" applyFont="1" applyBorder="1" applyAlignment="1" applyProtection="1">
      <alignment wrapText="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0" fillId="0" borderId="2" xfId="0" applyBorder="1" applyProtection="1">
      <protection locked="0"/>
    </xf>
    <xf numFmtId="0" fontId="0" fillId="0" borderId="13"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14" xfId="0" applyBorder="1" applyProtection="1">
      <protection locked="0"/>
    </xf>
    <xf numFmtId="0" fontId="0" fillId="0" borderId="1" xfId="0" applyBorder="1" applyAlignment="1">
      <alignment wrapText="1"/>
    </xf>
    <xf numFmtId="0" fontId="0" fillId="0" borderId="9" xfId="0" applyBorder="1" applyProtection="1">
      <protection locked="0"/>
    </xf>
    <xf numFmtId="0" fontId="0" fillId="0" borderId="1" xfId="0" applyFill="1" applyBorder="1" applyAlignment="1">
      <alignment horizontal="center" vertical="center" wrapText="1"/>
    </xf>
    <xf numFmtId="1" fontId="0" fillId="0" borderId="11" xfId="0" applyNumberFormat="1" applyBorder="1" applyProtection="1">
      <protection locked="0"/>
    </xf>
    <xf numFmtId="164" fontId="0" fillId="0" borderId="0" xfId="0" applyNumberFormat="1"/>
    <xf numFmtId="0" fontId="8" fillId="0" borderId="9" xfId="0" applyFont="1" applyBorder="1" applyAlignment="1">
      <alignment wrapText="1"/>
    </xf>
    <xf numFmtId="0" fontId="8" fillId="0" borderId="9" xfId="0" applyFont="1" applyFill="1" applyBorder="1" applyAlignment="1">
      <alignment wrapText="1"/>
    </xf>
    <xf numFmtId="0" fontId="2" fillId="0" borderId="9" xfId="0" applyFont="1" applyBorder="1" applyAlignment="1">
      <alignment wrapText="1"/>
    </xf>
    <xf numFmtId="164" fontId="1" fillId="2" borderId="8" xfId="0" applyNumberFormat="1" applyFont="1" applyFill="1" applyBorder="1" applyAlignment="1" applyProtection="1">
      <alignment wrapText="1"/>
      <protection locked="0"/>
    </xf>
    <xf numFmtId="164" fontId="0" fillId="2" borderId="8" xfId="0" applyNumberFormat="1" applyFill="1" applyBorder="1" applyAlignment="1" applyProtection="1">
      <protection locked="0"/>
    </xf>
    <xf numFmtId="165" fontId="0" fillId="2" borderId="8" xfId="0" applyNumberFormat="1" applyFill="1" applyBorder="1" applyAlignment="1" applyProtection="1">
      <protection locked="0"/>
    </xf>
    <xf numFmtId="1" fontId="0" fillId="2" borderId="8" xfId="0" applyNumberFormat="1" applyFill="1" applyBorder="1" applyAlignment="1" applyProtection="1">
      <protection locked="0"/>
    </xf>
    <xf numFmtId="0" fontId="1" fillId="0" borderId="9" xfId="0" applyFont="1" applyFill="1" applyBorder="1" applyAlignment="1">
      <alignment horizontal="center" wrapText="1"/>
    </xf>
    <xf numFmtId="0" fontId="0" fillId="0" borderId="8" xfId="0" applyBorder="1" applyProtection="1">
      <protection locked="0"/>
    </xf>
    <xf numFmtId="0" fontId="0" fillId="0" borderId="15" xfId="0" applyBorder="1" applyProtection="1">
      <protection locked="0"/>
    </xf>
    <xf numFmtId="0" fontId="1" fillId="0" borderId="0" xfId="0" applyFont="1"/>
    <xf numFmtId="0" fontId="11" fillId="0" borderId="0" xfId="0" applyFont="1"/>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3" fillId="0" borderId="6" xfId="0" applyFont="1" applyBorder="1" applyAlignment="1">
      <alignment wrapText="1"/>
    </xf>
    <xf numFmtId="0" fontId="13" fillId="0" borderId="16" xfId="0" applyFont="1" applyFill="1" applyBorder="1" applyAlignment="1">
      <alignment horizontal="center" vertical="center" wrapText="1"/>
    </xf>
    <xf numFmtId="0" fontId="0" fillId="0" borderId="10" xfId="0" applyBorder="1"/>
    <xf numFmtId="0" fontId="0" fillId="0" borderId="11" xfId="0" applyBorder="1"/>
    <xf numFmtId="0" fontId="14" fillId="0" borderId="11" xfId="0" applyFont="1" applyBorder="1"/>
    <xf numFmtId="0" fontId="0" fillId="0" borderId="12" xfId="0" applyFill="1" applyBorder="1"/>
    <xf numFmtId="0" fontId="0" fillId="3" borderId="17" xfId="0" applyFill="1" applyBorder="1" applyAlignment="1" applyProtection="1">
      <alignment horizontal="center" vertical="center"/>
    </xf>
    <xf numFmtId="0" fontId="0" fillId="3" borderId="8" xfId="0" applyFill="1" applyBorder="1" applyProtection="1">
      <protection locked="0"/>
    </xf>
    <xf numFmtId="0" fontId="0" fillId="3" borderId="15" xfId="0" applyFill="1" applyBorder="1" applyAlignment="1" applyProtection="1">
      <alignment horizontal="center"/>
      <protection locked="0"/>
    </xf>
    <xf numFmtId="0" fontId="14" fillId="0" borderId="1" xfId="0" applyFont="1" applyBorder="1"/>
    <xf numFmtId="0" fontId="0" fillId="0" borderId="13" xfId="0" applyFill="1" applyBorder="1"/>
    <xf numFmtId="0" fontId="0" fillId="0" borderId="18" xfId="0" applyBorder="1" applyAlignment="1">
      <alignment horizontal="center"/>
    </xf>
    <xf numFmtId="0" fontId="0" fillId="0" borderId="19" xfId="0" applyBorder="1"/>
    <xf numFmtId="0" fontId="14" fillId="0" borderId="4" xfId="0" applyFont="1" applyBorder="1"/>
    <xf numFmtId="0" fontId="0" fillId="0" borderId="14" xfId="0" applyFill="1" applyBorder="1"/>
    <xf numFmtId="0" fontId="17" fillId="0" borderId="0" xfId="0" applyFont="1"/>
    <xf numFmtId="0" fontId="18" fillId="0" borderId="5" xfId="0" applyFont="1" applyBorder="1" applyAlignment="1" applyProtection="1">
      <alignment wrapText="1"/>
      <protection locked="0"/>
    </xf>
    <xf numFmtId="0" fontId="18" fillId="0" borderId="6" xfId="0" applyFont="1" applyBorder="1" applyAlignment="1" applyProtection="1">
      <alignment wrapText="1"/>
      <protection locked="0"/>
    </xf>
    <xf numFmtId="0" fontId="18" fillId="0" borderId="16" xfId="0" applyFont="1" applyBorder="1" applyAlignment="1" applyProtection="1">
      <alignment wrapText="1"/>
      <protection locked="0"/>
    </xf>
    <xf numFmtId="1" fontId="0" fillId="0" borderId="1" xfId="0" applyNumberFormat="1" applyBorder="1" applyProtection="1">
      <protection locked="0"/>
    </xf>
    <xf numFmtId="1" fontId="0" fillId="0" borderId="4" xfId="0" applyNumberFormat="1" applyBorder="1" applyProtection="1">
      <protection locked="0"/>
    </xf>
    <xf numFmtId="165" fontId="0" fillId="3" borderId="8" xfId="0" applyNumberFormat="1" applyFill="1" applyBorder="1" applyAlignment="1" applyProtection="1">
      <protection locked="0"/>
    </xf>
    <xf numFmtId="164" fontId="0" fillId="0" borderId="1" xfId="0" applyNumberFormat="1" applyBorder="1" applyProtection="1">
      <protection locked="0"/>
    </xf>
    <xf numFmtId="165" fontId="0" fillId="0" borderId="1" xfId="0" applyNumberFormat="1" applyBorder="1" applyProtection="1">
      <protection locked="0"/>
    </xf>
    <xf numFmtId="164" fontId="0" fillId="0" borderId="4" xfId="0" applyNumberFormat="1" applyBorder="1" applyProtection="1">
      <protection locked="0"/>
    </xf>
    <xf numFmtId="165" fontId="0" fillId="0" borderId="4" xfId="0" applyNumberFormat="1" applyBorder="1" applyProtection="1">
      <protection locked="0"/>
    </xf>
    <xf numFmtId="164" fontId="0" fillId="0" borderId="11" xfId="0" applyNumberFormat="1" applyBorder="1" applyProtection="1">
      <protection locked="0"/>
    </xf>
    <xf numFmtId="165" fontId="0" fillId="0" borderId="11" xfId="0" applyNumberFormat="1" applyBorder="1" applyProtection="1">
      <protection locked="0"/>
    </xf>
    <xf numFmtId="164" fontId="0" fillId="0" borderId="1" xfId="0" applyNumberFormat="1" applyFill="1" applyBorder="1" applyAlignment="1" applyProtection="1">
      <protection locked="0"/>
    </xf>
    <xf numFmtId="165" fontId="0" fillId="0" borderId="1" xfId="0" applyNumberFormat="1" applyFill="1" applyBorder="1" applyAlignment="1" applyProtection="1">
      <protection locked="0"/>
    </xf>
    <xf numFmtId="1" fontId="0" fillId="0" borderId="1" xfId="0" applyNumberFormat="1" applyFill="1" applyBorder="1" applyAlignment="1" applyProtection="1">
      <protection locked="0"/>
    </xf>
    <xf numFmtId="164" fontId="0" fillId="0" borderId="4" xfId="0" applyNumberFormat="1" applyBorder="1"/>
    <xf numFmtId="165" fontId="0" fillId="0" borderId="4" xfId="0" applyNumberFormat="1" applyBorder="1"/>
    <xf numFmtId="1" fontId="0" fillId="0" borderId="4" xfId="0" applyNumberFormat="1" applyBorder="1"/>
    <xf numFmtId="164" fontId="0" fillId="0" borderId="1" xfId="0" applyNumberFormat="1" applyFill="1" applyBorder="1" applyProtection="1">
      <protection locked="0"/>
    </xf>
    <xf numFmtId="165" fontId="0" fillId="0" borderId="1" xfId="0" applyNumberFormat="1" applyFill="1" applyBorder="1" applyProtection="1">
      <protection locked="0"/>
    </xf>
    <xf numFmtId="1" fontId="0" fillId="0" borderId="1" xfId="0" applyNumberFormat="1" applyFill="1" applyBorder="1" applyProtection="1">
      <protection locked="0"/>
    </xf>
    <xf numFmtId="164" fontId="0" fillId="0" borderId="11" xfId="0" applyNumberFormat="1" applyFill="1" applyBorder="1" applyAlignment="1" applyProtection="1">
      <protection locked="0"/>
    </xf>
    <xf numFmtId="165" fontId="0" fillId="0" borderId="11" xfId="0" applyNumberFormat="1" applyFill="1" applyBorder="1" applyAlignment="1" applyProtection="1">
      <protection locked="0"/>
    </xf>
    <xf numFmtId="1" fontId="0" fillId="0" borderId="11" xfId="0" applyNumberFormat="1" applyFill="1" applyBorder="1" applyAlignment="1" applyProtection="1">
      <protection locked="0"/>
    </xf>
    <xf numFmtId="0" fontId="18" fillId="0" borderId="20" xfId="0" applyFont="1" applyBorder="1" applyAlignment="1" applyProtection="1">
      <alignment wrapText="1"/>
      <protection locked="0"/>
    </xf>
    <xf numFmtId="0" fontId="0" fillId="0" borderId="12" xfId="0" applyBorder="1"/>
    <xf numFmtId="0" fontId="0" fillId="0" borderId="13" xfId="0" applyBorder="1"/>
    <xf numFmtId="0" fontId="0" fillId="0" borderId="14" xfId="0" applyBorder="1"/>
    <xf numFmtId="0" fontId="3" fillId="4" borderId="15" xfId="0" applyFont="1" applyFill="1" applyBorder="1" applyAlignment="1">
      <alignment horizontal="center"/>
    </xf>
    <xf numFmtId="11" fontId="0" fillId="0" borderId="21" xfId="0" applyNumberFormat="1" applyBorder="1"/>
    <xf numFmtId="0" fontId="3" fillId="0" borderId="5" xfId="0" applyFont="1" applyBorder="1" applyAlignment="1">
      <alignment horizontal="center"/>
    </xf>
    <xf numFmtId="0" fontId="3" fillId="0" borderId="6" xfId="0" applyFont="1" applyBorder="1" applyAlignment="1">
      <alignment horizontal="center"/>
    </xf>
    <xf numFmtId="0" fontId="3" fillId="0" borderId="16" xfId="0" applyFont="1" applyBorder="1" applyAlignment="1">
      <alignment horizontal="center"/>
    </xf>
    <xf numFmtId="0" fontId="0" fillId="0" borderId="9" xfId="0" applyNumberFormat="1" applyBorder="1" applyAlignment="1" applyProtection="1">
      <alignment horizontal="center"/>
      <protection locked="0"/>
    </xf>
    <xf numFmtId="0" fontId="0" fillId="0" borderId="9" xfId="0" applyNumberFormat="1" applyBorder="1" applyAlignment="1" applyProtection="1">
      <alignment horizontal="center" wrapText="1"/>
      <protection locked="0"/>
    </xf>
    <xf numFmtId="0" fontId="0" fillId="0" borderId="9" xfId="0" applyNumberFormat="1" applyFill="1" applyBorder="1" applyAlignment="1" applyProtection="1">
      <alignment horizontal="center"/>
      <protection locked="0"/>
    </xf>
    <xf numFmtId="0" fontId="0" fillId="0" borderId="0" xfId="0" applyNumberFormat="1" applyProtection="1">
      <protection locked="0"/>
    </xf>
    <xf numFmtId="164" fontId="0" fillId="0" borderId="1" xfId="0" applyNumberFormat="1" applyBorder="1"/>
    <xf numFmtId="165" fontId="0" fillId="0" borderId="1" xfId="0" applyNumberFormat="1" applyBorder="1"/>
    <xf numFmtId="1" fontId="0" fillId="0" borderId="1" xfId="0" applyNumberFormat="1" applyBorder="1"/>
    <xf numFmtId="0" fontId="3" fillId="3" borderId="5" xfId="0" applyFont="1" applyFill="1" applyBorder="1" applyAlignment="1">
      <alignment horizontal="center" wrapText="1"/>
    </xf>
    <xf numFmtId="0" fontId="3" fillId="3" borderId="6" xfId="0" applyFont="1" applyFill="1" applyBorder="1" applyAlignment="1">
      <alignment horizontal="center" wrapText="1"/>
    </xf>
    <xf numFmtId="0" fontId="3" fillId="3" borderId="8" xfId="0" applyFont="1" applyFill="1" applyBorder="1" applyAlignment="1">
      <alignment horizontal="center" wrapText="1"/>
    </xf>
    <xf numFmtId="0" fontId="3" fillId="3" borderId="15" xfId="0" applyFont="1" applyFill="1" applyBorder="1" applyAlignment="1">
      <alignment horizontal="center" wrapText="1"/>
    </xf>
    <xf numFmtId="0" fontId="24" fillId="0" borderId="10" xfId="0" applyFont="1" applyBorder="1" applyAlignment="1">
      <alignment horizontal="center"/>
    </xf>
    <xf numFmtId="0" fontId="25" fillId="0" borderId="12" xfId="0" applyFont="1" applyBorder="1"/>
    <xf numFmtId="0" fontId="24" fillId="0" borderId="2" xfId="0" applyFont="1" applyBorder="1" applyAlignment="1">
      <alignment horizontal="center"/>
    </xf>
    <xf numFmtId="0" fontId="25" fillId="0" borderId="13" xfId="0" applyFont="1" applyBorder="1"/>
    <xf numFmtId="0" fontId="26" fillId="0" borderId="0" xfId="0" applyFont="1" applyBorder="1" applyAlignment="1">
      <alignment horizontal="center" wrapText="1"/>
    </xf>
    <xf numFmtId="0" fontId="0" fillId="3" borderId="22" xfId="0" applyFill="1" applyBorder="1" applyProtection="1">
      <protection locked="0"/>
    </xf>
    <xf numFmtId="3" fontId="0" fillId="0" borderId="11" xfId="0" applyNumberFormat="1" applyBorder="1" applyProtection="1">
      <protection locked="0"/>
    </xf>
    <xf numFmtId="3" fontId="0" fillId="0" borderId="1" xfId="0" applyNumberFormat="1" applyBorder="1" applyProtection="1">
      <protection locked="0"/>
    </xf>
    <xf numFmtId="3" fontId="0" fillId="0" borderId="4" xfId="0" applyNumberFormat="1" applyBorder="1" applyProtection="1">
      <protection locked="0"/>
    </xf>
    <xf numFmtId="0" fontId="0" fillId="0" borderId="1"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0" fontId="0" fillId="0" borderId="13" xfId="0" applyNumberFormat="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14" xfId="0" applyNumberFormat="1"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12" xfId="0" applyNumberFormat="1" applyBorder="1" applyAlignment="1">
      <alignment horizontal="center"/>
    </xf>
    <xf numFmtId="0" fontId="0" fillId="0" borderId="13" xfId="0" applyBorder="1" applyAlignment="1">
      <alignment horizontal="center"/>
    </xf>
    <xf numFmtId="0" fontId="26" fillId="0" borderId="0" xfId="0" applyFont="1" applyBorder="1" applyAlignment="1">
      <alignment wrapText="1"/>
    </xf>
    <xf numFmtId="0" fontId="3" fillId="0" borderId="26" xfId="0" applyFont="1" applyBorder="1" applyAlignment="1">
      <alignment wrapText="1"/>
    </xf>
    <xf numFmtId="0" fontId="0" fillId="0" borderId="0" xfId="0" applyBorder="1"/>
    <xf numFmtId="0" fontId="3" fillId="3" borderId="27" xfId="0" applyFont="1" applyFill="1" applyBorder="1" applyAlignment="1">
      <alignment horizontal="center" wrapText="1"/>
    </xf>
    <xf numFmtId="0" fontId="0" fillId="4" borderId="28" xfId="0" applyFill="1" applyBorder="1"/>
    <xf numFmtId="0" fontId="0" fillId="0" borderId="29" xfId="0" applyBorder="1"/>
    <xf numFmtId="0" fontId="3" fillId="3" borderId="7" xfId="0" applyFont="1" applyFill="1" applyBorder="1" applyAlignment="1">
      <alignment horizontal="center" wrapText="1"/>
    </xf>
    <xf numFmtId="0" fontId="3" fillId="3" borderId="20" xfId="0" applyFont="1" applyFill="1" applyBorder="1" applyAlignment="1">
      <alignment horizontal="center" wrapText="1"/>
    </xf>
    <xf numFmtId="0" fontId="3" fillId="4" borderId="7" xfId="0" applyFont="1" applyFill="1" applyBorder="1" applyAlignment="1">
      <alignment horizontal="center"/>
    </xf>
    <xf numFmtId="0" fontId="0" fillId="0" borderId="30" xfId="0" applyBorder="1"/>
    <xf numFmtId="0" fontId="0" fillId="0" borderId="31" xfId="0" applyBorder="1"/>
    <xf numFmtId="0" fontId="0" fillId="0" borderId="32" xfId="0" applyBorder="1"/>
    <xf numFmtId="0" fontId="15"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Fill="1" applyBorder="1" applyAlignment="1">
      <alignment horizontal="center" vertical="center" wrapText="1"/>
    </xf>
    <xf numFmtId="0" fontId="16" fillId="3" borderId="1" xfId="0" applyFont="1" applyFill="1" applyBorder="1"/>
    <xf numFmtId="11" fontId="16"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7" fontId="2" fillId="3" borderId="1" xfId="0" applyNumberFormat="1" applyFont="1" applyFill="1" applyBorder="1" applyProtection="1">
      <protection hidden="1"/>
    </xf>
    <xf numFmtId="166" fontId="0" fillId="3" borderId="1" xfId="0" applyNumberFormat="1" applyFill="1" applyBorder="1" applyProtection="1">
      <protection hidden="1"/>
    </xf>
    <xf numFmtId="0" fontId="0" fillId="3" borderId="1" xfId="0" applyFill="1" applyBorder="1" applyProtection="1">
      <protection hidden="1"/>
    </xf>
    <xf numFmtId="3" fontId="0" fillId="0" borderId="0" xfId="0" applyNumberFormat="1"/>
    <xf numFmtId="3" fontId="0" fillId="5" borderId="1" xfId="0" applyNumberFormat="1" applyFill="1" applyBorder="1" applyProtection="1">
      <protection locked="0"/>
    </xf>
    <xf numFmtId="0" fontId="0" fillId="0" borderId="1" xfId="0" applyBorder="1" applyAlignment="1">
      <alignment vertical="center"/>
    </xf>
    <xf numFmtId="11" fontId="0" fillId="0" borderId="1" xfId="0" applyNumberFormat="1" applyBorder="1" applyAlignment="1">
      <alignment vertical="center"/>
    </xf>
    <xf numFmtId="166" fontId="0" fillId="0" borderId="1" xfId="0" applyNumberFormat="1" applyBorder="1" applyAlignment="1">
      <alignment vertical="center"/>
    </xf>
    <xf numFmtId="167" fontId="1" fillId="0" borderId="1" xfId="0" applyNumberFormat="1" applyFont="1" applyFill="1" applyBorder="1" applyAlignment="1" applyProtection="1">
      <alignment vertical="center"/>
      <protection hidden="1"/>
    </xf>
    <xf numFmtId="166" fontId="1" fillId="0" borderId="1" xfId="0" applyNumberFormat="1" applyFont="1" applyFill="1" applyBorder="1" applyAlignment="1" applyProtection="1">
      <alignment vertical="center"/>
      <protection hidden="1"/>
    </xf>
    <xf numFmtId="0" fontId="0" fillId="0" borderId="1" xfId="0" applyBorder="1" applyAlignment="1" applyProtection="1">
      <alignment vertical="center"/>
      <protection hidden="1"/>
    </xf>
    <xf numFmtId="0" fontId="0" fillId="0" borderId="0" xfId="0" applyAlignment="1">
      <alignment vertical="center"/>
    </xf>
    <xf numFmtId="0" fontId="33" fillId="6" borderId="1" xfId="0" applyFont="1" applyFill="1" applyBorder="1"/>
    <xf numFmtId="0" fontId="34" fillId="6" borderId="1" xfId="0" applyFont="1" applyFill="1" applyBorder="1"/>
    <xf numFmtId="0" fontId="35" fillId="6" borderId="1" xfId="0" applyFont="1" applyFill="1" applyBorder="1" applyAlignment="1">
      <alignment vertical="center"/>
    </xf>
    <xf numFmtId="0" fontId="35" fillId="6" borderId="1" xfId="0" applyFont="1" applyFill="1" applyBorder="1"/>
    <xf numFmtId="166" fontId="0" fillId="0" borderId="0" xfId="0" applyNumberFormat="1"/>
    <xf numFmtId="0" fontId="37" fillId="6" borderId="1" xfId="0" applyFont="1" applyFill="1" applyBorder="1"/>
    <xf numFmtId="0" fontId="0" fillId="7" borderId="1" xfId="0" applyFill="1" applyBorder="1" applyAlignment="1">
      <alignment vertical="center"/>
    </xf>
    <xf numFmtId="11" fontId="0" fillId="7" borderId="1" xfId="0" applyNumberFormat="1" applyFill="1" applyBorder="1" applyAlignment="1">
      <alignment vertical="center"/>
    </xf>
    <xf numFmtId="166" fontId="0" fillId="7" borderId="1" xfId="0" applyNumberFormat="1" applyFill="1" applyBorder="1" applyAlignment="1">
      <alignment vertical="center"/>
    </xf>
    <xf numFmtId="167" fontId="1" fillId="7" borderId="1" xfId="0" applyNumberFormat="1" applyFont="1" applyFill="1" applyBorder="1" applyAlignment="1" applyProtection="1">
      <alignment vertical="center"/>
      <protection hidden="1"/>
    </xf>
    <xf numFmtId="166" fontId="1" fillId="7" borderId="1" xfId="0" applyNumberFormat="1" applyFont="1" applyFill="1" applyBorder="1" applyAlignment="1" applyProtection="1">
      <alignment vertical="center"/>
      <protection hidden="1"/>
    </xf>
    <xf numFmtId="0" fontId="0" fillId="7" borderId="1" xfId="0" applyFill="1" applyBorder="1" applyAlignment="1" applyProtection="1">
      <alignment vertical="center"/>
      <protection hidden="1"/>
    </xf>
    <xf numFmtId="0" fontId="0" fillId="7" borderId="0" xfId="0" applyFill="1" applyAlignment="1">
      <alignment vertical="center"/>
    </xf>
    <xf numFmtId="0" fontId="24" fillId="0" borderId="1" xfId="0" applyFont="1" applyBorder="1" applyAlignment="1">
      <alignment vertical="center"/>
    </xf>
    <xf numFmtId="0" fontId="0" fillId="8" borderId="2" xfId="0" applyFill="1" applyBorder="1"/>
    <xf numFmtId="0" fontId="0" fillId="8" borderId="1" xfId="0" applyFill="1" applyBorder="1"/>
    <xf numFmtId="0" fontId="0" fillId="8" borderId="13" xfId="0" applyFill="1" applyBorder="1"/>
    <xf numFmtId="0" fontId="24" fillId="0" borderId="38" xfId="0" applyFont="1" applyBorder="1" applyAlignment="1">
      <alignment horizontal="center"/>
    </xf>
    <xf numFmtId="0" fontId="25" fillId="0" borderId="39" xfId="0" applyFont="1" applyBorder="1"/>
    <xf numFmtId="0" fontId="29" fillId="0" borderId="33" xfId="0" applyFont="1" applyBorder="1" applyAlignment="1">
      <alignment horizontal="center" wrapText="1"/>
    </xf>
    <xf numFmtId="0" fontId="29" fillId="0" borderId="34" xfId="0" applyFont="1" applyBorder="1" applyAlignment="1">
      <alignment horizontal="center" wrapText="1"/>
    </xf>
    <xf numFmtId="0" fontId="29" fillId="0" borderId="35" xfId="0" applyFont="1" applyBorder="1" applyAlignment="1">
      <alignment horizontal="center" wrapText="1"/>
    </xf>
    <xf numFmtId="0" fontId="29" fillId="0" borderId="30" xfId="0" applyFont="1" applyBorder="1" applyAlignment="1">
      <alignment horizontal="center" wrapText="1"/>
    </xf>
    <xf numFmtId="0" fontId="29" fillId="0" borderId="0" xfId="0" applyFont="1" applyBorder="1" applyAlignment="1">
      <alignment horizontal="center" wrapText="1"/>
    </xf>
    <xf numFmtId="0" fontId="29" fillId="0" borderId="36" xfId="0" applyFont="1" applyBorder="1" applyAlignment="1">
      <alignment horizontal="center" wrapText="1"/>
    </xf>
    <xf numFmtId="0" fontId="29" fillId="0" borderId="32" xfId="0" applyFont="1" applyBorder="1" applyAlignment="1">
      <alignment horizontal="center" wrapText="1"/>
    </xf>
    <xf numFmtId="0" fontId="29" fillId="0" borderId="37" xfId="0" applyFont="1" applyBorder="1" applyAlignment="1">
      <alignment horizontal="center" wrapText="1"/>
    </xf>
    <xf numFmtId="0" fontId="27" fillId="0" borderId="33" xfId="0" applyFont="1" applyBorder="1" applyAlignment="1">
      <alignment horizontal="center" wrapText="1"/>
    </xf>
    <xf numFmtId="0" fontId="27" fillId="0" borderId="34" xfId="0" applyFont="1" applyBorder="1" applyAlignment="1">
      <alignment horizontal="center" wrapText="1"/>
    </xf>
    <xf numFmtId="0" fontId="27" fillId="0" borderId="35" xfId="0" applyFont="1" applyBorder="1" applyAlignment="1">
      <alignment horizontal="center" wrapText="1"/>
    </xf>
    <xf numFmtId="0" fontId="27" fillId="0" borderId="30" xfId="0" applyFont="1" applyBorder="1" applyAlignment="1">
      <alignment horizontal="center" wrapText="1"/>
    </xf>
    <xf numFmtId="0" fontId="27" fillId="0" borderId="0" xfId="0" applyFont="1" applyBorder="1" applyAlignment="1">
      <alignment horizontal="center" wrapText="1"/>
    </xf>
    <xf numFmtId="0" fontId="27" fillId="0" borderId="36" xfId="0" applyFont="1" applyBorder="1" applyAlignment="1">
      <alignment horizontal="center" wrapText="1"/>
    </xf>
    <xf numFmtId="0" fontId="27" fillId="0" borderId="31" xfId="0" applyFont="1" applyBorder="1" applyAlignment="1">
      <alignment horizontal="center" wrapText="1"/>
    </xf>
    <xf numFmtId="0" fontId="27" fillId="0" borderId="32" xfId="0" applyFont="1" applyBorder="1" applyAlignment="1">
      <alignment horizontal="center" wrapText="1"/>
    </xf>
    <xf numFmtId="0" fontId="27" fillId="0" borderId="37" xfId="0" applyFont="1" applyBorder="1" applyAlignment="1">
      <alignment horizontal="center" wrapText="1"/>
    </xf>
    <xf numFmtId="0" fontId="20" fillId="0" borderId="33" xfId="0" applyFont="1" applyBorder="1" applyAlignment="1">
      <alignment horizontal="center" wrapText="1"/>
    </xf>
    <xf numFmtId="0" fontId="20" fillId="0" borderId="34" xfId="0" applyFont="1" applyBorder="1" applyAlignment="1">
      <alignment horizontal="center" wrapText="1"/>
    </xf>
    <xf numFmtId="0" fontId="20" fillId="0" borderId="35" xfId="0" applyFont="1" applyBorder="1" applyAlignment="1">
      <alignment horizontal="center" wrapText="1"/>
    </xf>
    <xf numFmtId="0" fontId="20" fillId="0" borderId="30" xfId="0" applyFont="1" applyBorder="1" applyAlignment="1">
      <alignment horizontal="center" wrapText="1"/>
    </xf>
    <xf numFmtId="0" fontId="20" fillId="0" borderId="0" xfId="0" applyFont="1" applyBorder="1" applyAlignment="1">
      <alignment horizontal="center" wrapText="1"/>
    </xf>
    <xf numFmtId="0" fontId="20" fillId="0" borderId="36" xfId="0" applyFont="1" applyBorder="1" applyAlignment="1">
      <alignment horizontal="center" wrapText="1"/>
    </xf>
    <xf numFmtId="0" fontId="20" fillId="0" borderId="31" xfId="0" applyFont="1" applyBorder="1" applyAlignment="1">
      <alignment horizontal="center" wrapText="1"/>
    </xf>
    <xf numFmtId="0" fontId="20" fillId="0" borderId="32" xfId="0" applyFont="1" applyBorder="1" applyAlignment="1">
      <alignment horizontal="center" wrapText="1"/>
    </xf>
    <xf numFmtId="0" fontId="20" fillId="0" borderId="37" xfId="0" applyFont="1" applyBorder="1" applyAlignment="1">
      <alignment horizontal="center" wrapText="1"/>
    </xf>
    <xf numFmtId="0" fontId="26" fillId="0" borderId="33" xfId="0" applyFont="1" applyBorder="1" applyAlignment="1">
      <alignment horizontal="center" wrapText="1"/>
    </xf>
    <xf numFmtId="0" fontId="26" fillId="0" borderId="34" xfId="0" applyFont="1" applyBorder="1" applyAlignment="1">
      <alignment horizontal="center" wrapText="1"/>
    </xf>
    <xf numFmtId="0" fontId="26" fillId="0" borderId="35" xfId="0" applyFont="1" applyBorder="1" applyAlignment="1">
      <alignment horizontal="center" wrapText="1"/>
    </xf>
    <xf numFmtId="0" fontId="26" fillId="0" borderId="30" xfId="0" applyFont="1" applyBorder="1" applyAlignment="1">
      <alignment horizontal="center" wrapText="1"/>
    </xf>
    <xf numFmtId="0" fontId="26" fillId="0" borderId="0" xfId="0" applyFont="1" applyBorder="1" applyAlignment="1">
      <alignment horizontal="center" wrapText="1"/>
    </xf>
    <xf numFmtId="0" fontId="26" fillId="0" borderId="36" xfId="0" applyFont="1" applyBorder="1" applyAlignment="1">
      <alignment horizontal="center" wrapText="1"/>
    </xf>
    <xf numFmtId="0" fontId="26" fillId="0" borderId="31" xfId="0" applyFont="1" applyBorder="1" applyAlignment="1">
      <alignment horizontal="center" wrapText="1"/>
    </xf>
    <xf numFmtId="0" fontId="26" fillId="0" borderId="32" xfId="0" applyFont="1" applyBorder="1" applyAlignment="1">
      <alignment horizontal="center" wrapText="1"/>
    </xf>
    <xf numFmtId="0" fontId="26" fillId="0" borderId="37" xfId="0" applyFont="1" applyBorder="1" applyAlignment="1">
      <alignment horizontal="center" wrapText="1"/>
    </xf>
  </cellXfs>
  <cellStyles count="1">
    <cellStyle name="Обычный" xfId="0" builtinId="0"/>
  </cellStyles>
  <dxfs count="7">
    <dxf>
      <fill>
        <patternFill>
          <bgColor indexed="11"/>
        </patternFill>
      </fill>
    </dxf>
    <dxf>
      <fill>
        <patternFill>
          <bgColor indexed="26"/>
        </patternFill>
      </fill>
    </dxf>
    <dxf>
      <fill>
        <patternFill>
          <bgColor indexed="11"/>
        </patternFill>
      </fill>
    </dxf>
    <dxf>
      <fill>
        <patternFill>
          <bgColor indexed="26"/>
        </patternFill>
      </fill>
    </dxf>
    <dxf>
      <fill>
        <patternFill>
          <bgColor indexed="26"/>
        </patternFill>
      </fill>
    </dxf>
    <dxf>
      <fill>
        <patternFill>
          <bgColor indexed="11"/>
        </patternFill>
      </fill>
    </dxf>
    <dxf>
      <fill>
        <patternFill>
          <bgColor indexed="2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sz="1000" b="1" i="0" u="none" strike="noStrike" baseline="0">
                <a:solidFill>
                  <a:srgbClr val="000000"/>
                </a:solidFill>
                <a:latin typeface="Arial Cyr"/>
                <a:cs typeface="Arial Cyr"/>
              </a:rPr>
              <a:t>Рис. 5.3  Зависимость </a:t>
            </a:r>
            <a:r>
              <a:rPr lang="ru-RU" sz="1000" b="1" i="1" u="none" strike="noStrike" baseline="0">
                <a:solidFill>
                  <a:srgbClr val="000000"/>
                </a:solidFill>
                <a:latin typeface="Arial Cyr"/>
                <a:cs typeface="Arial Cyr"/>
              </a:rPr>
              <a:t>Колличества итераций</a:t>
            </a:r>
            <a:r>
              <a:rPr lang="ru-RU" sz="1000" b="1" i="0" u="none" strike="noStrike" baseline="0">
                <a:solidFill>
                  <a:srgbClr val="000000"/>
                </a:solidFill>
                <a:latin typeface="Arial Cyr"/>
                <a:cs typeface="Arial Cyr"/>
              </a:rPr>
              <a:t> от </a:t>
            </a:r>
            <a:r>
              <a:rPr lang="ru-RU" sz="1000" b="1" i="1" u="none" strike="noStrike" baseline="0">
                <a:solidFill>
                  <a:srgbClr val="000000"/>
                </a:solidFill>
                <a:latin typeface="Arial Cyr"/>
                <a:cs typeface="Arial Cyr"/>
              </a:rPr>
              <a:t>Начальной цены</a:t>
            </a:r>
          </a:p>
        </c:rich>
      </c:tx>
      <c:layout>
        <c:manualLayout>
          <c:xMode val="edge"/>
          <c:yMode val="edge"/>
          <c:x val="0.11631964165520843"/>
          <c:y val="3.5461115709205002E-2"/>
        </c:manualLayout>
      </c:layout>
      <c:overlay val="0"/>
      <c:spPr>
        <a:noFill/>
        <a:ln w="25400">
          <a:noFill/>
        </a:ln>
      </c:spPr>
    </c:title>
    <c:autoTitleDeleted val="0"/>
    <c:plotArea>
      <c:layout>
        <c:manualLayout>
          <c:layoutTarget val="inner"/>
          <c:xMode val="edge"/>
          <c:yMode val="edge"/>
          <c:x val="0.13715301030987262"/>
          <c:y val="0.20922058268430949"/>
          <c:w val="0.83854308835023383"/>
          <c:h val="0.56737785134728003"/>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Lit>
              <c:formatCode>General</c:formatCode>
              <c:ptCount val="25"/>
              <c:pt idx="0">
                <c:v>558.2661202185792</c:v>
              </c:pt>
              <c:pt idx="1">
                <c:v>582.49508196721308</c:v>
              </c:pt>
              <c:pt idx="2">
                <c:v>606.72404371584696</c:v>
              </c:pt>
              <c:pt idx="3">
                <c:v>630.95300546448084</c:v>
              </c:pt>
              <c:pt idx="4">
                <c:v>655.18196721311472</c:v>
              </c:pt>
              <c:pt idx="5">
                <c:v>679.4109289617486</c:v>
              </c:pt>
              <c:pt idx="6">
                <c:v>703.63989071038247</c:v>
              </c:pt>
              <c:pt idx="7">
                <c:v>727.86885245901635</c:v>
              </c:pt>
              <c:pt idx="8">
                <c:v>752.09781420765023</c:v>
              </c:pt>
              <c:pt idx="9">
                <c:v>776.32677595628411</c:v>
              </c:pt>
              <c:pt idx="10">
                <c:v>800.55573770491799</c:v>
              </c:pt>
              <c:pt idx="11">
                <c:v>824.78469945355187</c:v>
              </c:pt>
              <c:pt idx="12">
                <c:v>849.01366120218574</c:v>
              </c:pt>
              <c:pt idx="13">
                <c:v>873.24262295081962</c:v>
              </c:pt>
              <c:pt idx="14">
                <c:v>897.4715846994535</c:v>
              </c:pt>
              <c:pt idx="15">
                <c:v>921.70054644808738</c:v>
              </c:pt>
              <c:pt idx="16">
                <c:v>945.92950819672126</c:v>
              </c:pt>
              <c:pt idx="17">
                <c:v>970.15846994535514</c:v>
              </c:pt>
              <c:pt idx="18">
                <c:v>994.38743169398902</c:v>
              </c:pt>
              <c:pt idx="19">
                <c:v>1018.6163934426229</c:v>
              </c:pt>
              <c:pt idx="20">
                <c:v>1042.8453551912567</c:v>
              </c:pt>
              <c:pt idx="21">
                <c:v>1067.0743169398904</c:v>
              </c:pt>
              <c:pt idx="22">
                <c:v>1091.3032786885242</c:v>
              </c:pt>
              <c:pt idx="23">
                <c:v>1115.532240437158</c:v>
              </c:pt>
              <c:pt idx="24">
                <c:v>1139.7612021857917</c:v>
              </c:pt>
            </c:numLit>
          </c:cat>
          <c:val>
            <c:numLit>
              <c:formatCode>General</c:formatCode>
              <c:ptCount val="25"/>
              <c:pt idx="0">
                <c:v>600</c:v>
              </c:pt>
              <c:pt idx="1">
                <c:v>650</c:v>
              </c:pt>
              <c:pt idx="2">
                <c:v>700</c:v>
              </c:pt>
              <c:pt idx="3">
                <c:v>750</c:v>
              </c:pt>
              <c:pt idx="4">
                <c:v>800</c:v>
              </c:pt>
              <c:pt idx="5">
                <c:v>850</c:v>
              </c:pt>
              <c:pt idx="6">
                <c:v>900</c:v>
              </c:pt>
              <c:pt idx="7">
                <c:v>950</c:v>
              </c:pt>
              <c:pt idx="8">
                <c:v>1000</c:v>
              </c:pt>
              <c:pt idx="9">
                <c:v>1050</c:v>
              </c:pt>
              <c:pt idx="10">
                <c:v>1100</c:v>
              </c:pt>
              <c:pt idx="11">
                <c:v>1150</c:v>
              </c:pt>
              <c:pt idx="12">
                <c:v>1200</c:v>
              </c:pt>
              <c:pt idx="13">
                <c:v>1250</c:v>
              </c:pt>
              <c:pt idx="14">
                <c:v>1300</c:v>
              </c:pt>
              <c:pt idx="15">
                <c:v>1350</c:v>
              </c:pt>
              <c:pt idx="16">
                <c:v>1400</c:v>
              </c:pt>
              <c:pt idx="17">
                <c:v>1450</c:v>
              </c:pt>
              <c:pt idx="18">
                <c:v>1500</c:v>
              </c:pt>
              <c:pt idx="19">
                <c:v>1550</c:v>
              </c:pt>
              <c:pt idx="20">
                <c:v>1600</c:v>
              </c:pt>
              <c:pt idx="21">
                <c:v>1650</c:v>
              </c:pt>
              <c:pt idx="22">
                <c:v>1700</c:v>
              </c:pt>
              <c:pt idx="23">
                <c:v>1750</c:v>
              </c:pt>
              <c:pt idx="24">
                <c:v>1800</c:v>
              </c:pt>
            </c:numLit>
          </c:val>
          <c:smooth val="0"/>
          <c:extLst>
            <c:ext xmlns:c16="http://schemas.microsoft.com/office/drawing/2014/chart" uri="{C3380CC4-5D6E-409C-BE32-E72D297353CC}">
              <c16:uniqueId val="{00000000-4B33-4D07-9BAB-7928A9740917}"/>
            </c:ext>
          </c:extLst>
        </c:ser>
        <c:dLbls>
          <c:showLegendKey val="0"/>
          <c:showVal val="0"/>
          <c:showCatName val="0"/>
          <c:showSerName val="0"/>
          <c:showPercent val="0"/>
          <c:showBubbleSize val="0"/>
        </c:dLbls>
        <c:marker val="1"/>
        <c:smooth val="0"/>
        <c:axId val="285482496"/>
        <c:axId val="285953408"/>
      </c:lineChart>
      <c:catAx>
        <c:axId val="285482496"/>
        <c:scaling>
          <c:orientation val="minMax"/>
        </c:scaling>
        <c:delete val="0"/>
        <c:axPos val="b"/>
        <c:title>
          <c:tx>
            <c:rich>
              <a:bodyPr/>
              <a:lstStyle/>
              <a:p>
                <a:pPr>
                  <a:defRPr sz="9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6875079472994441"/>
              <c:y val="0.8971662274428864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ru-KG"/>
          </a:p>
        </c:txPr>
        <c:crossAx val="285953408"/>
        <c:crosses val="autoZero"/>
        <c:auto val="1"/>
        <c:lblAlgn val="ctr"/>
        <c:lblOffset val="100"/>
        <c:tickLblSkip val="1"/>
        <c:tickMarkSkip val="1"/>
        <c:noMultiLvlLbl val="0"/>
      </c:catAx>
      <c:valAx>
        <c:axId val="285953408"/>
        <c:scaling>
          <c:orientation val="minMax"/>
          <c:max val="110"/>
          <c:min val="70"/>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Cyr"/>
                    <a:ea typeface="Arial Cyr"/>
                    <a:cs typeface="Arial Cyr"/>
                  </a:defRPr>
                </a:pPr>
                <a:r>
                  <a:rPr lang="ru-RU"/>
                  <a:t>Колличество итераций</a:t>
                </a:r>
              </a:p>
            </c:rich>
          </c:tx>
          <c:layout>
            <c:manualLayout>
              <c:xMode val="edge"/>
              <c:yMode val="edge"/>
              <c:x val="5.0347307582105143E-2"/>
              <c:y val="0.24822780996443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Cyr"/>
                <a:ea typeface="Arial Cyr"/>
                <a:cs typeface="Arial Cyr"/>
              </a:defRPr>
            </a:pPr>
            <a:endParaRPr lang="ru-KG"/>
          </a:p>
        </c:txPr>
        <c:crossAx val="28548249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Cyr"/>
          <a:ea typeface="Arial Cyr"/>
          <a:cs typeface="Arial Cyr"/>
        </a:defRPr>
      </a:pPr>
      <a:endParaRPr lang="ru-KG"/>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Рисунка 5.1.</a:t>
            </a:r>
            <a:r>
              <a:rPr lang="en-US" sz="1400" b="1" i="0" u="none" strike="noStrike" baseline="0">
                <a:effectLst/>
              </a:rPr>
              <a:t> </a:t>
            </a:r>
            <a:r>
              <a:rPr lang="ru-RU" sz="1400" b="1" i="0" u="none" strike="noStrike" baseline="0">
                <a:effectLst/>
              </a:rPr>
              <a:t>График зависимости Количества итераций от Допустимой погрешности</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sheet5!$H$12:$H$22</c:f>
              <c:numCache>
                <c:formatCode>General</c:formatCode>
                <c:ptCount val="11"/>
                <c:pt idx="0">
                  <c:v>10</c:v>
                </c:pt>
                <c:pt idx="1">
                  <c:v>1</c:v>
                </c:pt>
                <c:pt idx="2">
                  <c:v>0.1</c:v>
                </c:pt>
                <c:pt idx="3">
                  <c:v>0.01</c:v>
                </c:pt>
                <c:pt idx="4">
                  <c:v>1E-3</c:v>
                </c:pt>
                <c:pt idx="5">
                  <c:v>1E-4</c:v>
                </c:pt>
                <c:pt idx="6">
                  <c:v>1.0000000000000001E-5</c:v>
                </c:pt>
                <c:pt idx="7">
                  <c:v>9.9999999999999995E-7</c:v>
                </c:pt>
                <c:pt idx="8">
                  <c:v>9.9999999999999995E-8</c:v>
                </c:pt>
                <c:pt idx="9">
                  <c:v>1E-8</c:v>
                </c:pt>
                <c:pt idx="10">
                  <c:v>1.0000000000000001E-9</c:v>
                </c:pt>
              </c:numCache>
            </c:numRef>
          </c:cat>
          <c:val>
            <c:numRef>
              <c:f>sheet5!$F$12:$F$22</c:f>
              <c:numCache>
                <c:formatCode>0</c:formatCode>
                <c:ptCount val="11"/>
                <c:pt idx="0">
                  <c:v>4490</c:v>
                </c:pt>
                <c:pt idx="1">
                  <c:v>4504</c:v>
                </c:pt>
                <c:pt idx="2">
                  <c:v>4513</c:v>
                </c:pt>
                <c:pt idx="3">
                  <c:v>4521</c:v>
                </c:pt>
                <c:pt idx="4">
                  <c:v>4529</c:v>
                </c:pt>
                <c:pt idx="5">
                  <c:v>4532</c:v>
                </c:pt>
                <c:pt idx="6">
                  <c:v>4534</c:v>
                </c:pt>
                <c:pt idx="7">
                  <c:v>4536</c:v>
                </c:pt>
                <c:pt idx="8">
                  <c:v>4537</c:v>
                </c:pt>
                <c:pt idx="9">
                  <c:v>4539</c:v>
                </c:pt>
                <c:pt idx="10">
                  <c:v>4541</c:v>
                </c:pt>
              </c:numCache>
            </c:numRef>
          </c:val>
          <c:smooth val="0"/>
          <c:extLst>
            <c:ext xmlns:c16="http://schemas.microsoft.com/office/drawing/2014/chart" uri="{C3380CC4-5D6E-409C-BE32-E72D297353CC}">
              <c16:uniqueId val="{00000000-1AE2-40F4-90DE-FF6ABE4670A8}"/>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Допустимая погрешность</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noMultiLvlLbl val="0"/>
      </c:catAx>
      <c:valAx>
        <c:axId val="1656939808"/>
        <c:scaling>
          <c:orientation val="minMax"/>
          <c:min val="4485"/>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10"/>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Таблица 5.2 График зависимости Количества итераций от Величины параметра Начальный шаг поиска h</a:t>
            </a:r>
            <a:r>
              <a:rPr lang="ru-RU" sz="1400" b="1" i="0" u="none" strike="noStrike" baseline="30000">
                <a:effectLst/>
              </a:rPr>
              <a:t>0</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sheet5!$G$28:$G$59</c:f>
              <c:numCache>
                <c:formatCode>General</c:formatCode>
                <c:ptCount val="32"/>
                <c:pt idx="0">
                  <c:v>210</c:v>
                </c:pt>
                <c:pt idx="1">
                  <c:v>215</c:v>
                </c:pt>
                <c:pt idx="2">
                  <c:v>220</c:v>
                </c:pt>
                <c:pt idx="3">
                  <c:v>225</c:v>
                </c:pt>
                <c:pt idx="4">
                  <c:v>230</c:v>
                </c:pt>
                <c:pt idx="5">
                  <c:v>235</c:v>
                </c:pt>
                <c:pt idx="6">
                  <c:v>240</c:v>
                </c:pt>
                <c:pt idx="7">
                  <c:v>245</c:v>
                </c:pt>
                <c:pt idx="8">
                  <c:v>250</c:v>
                </c:pt>
                <c:pt idx="9">
                  <c:v>255</c:v>
                </c:pt>
                <c:pt idx="10">
                  <c:v>260</c:v>
                </c:pt>
                <c:pt idx="11">
                  <c:v>265</c:v>
                </c:pt>
                <c:pt idx="12">
                  <c:v>270</c:v>
                </c:pt>
                <c:pt idx="13">
                  <c:v>275</c:v>
                </c:pt>
                <c:pt idx="14">
                  <c:v>280</c:v>
                </c:pt>
                <c:pt idx="15">
                  <c:v>285</c:v>
                </c:pt>
                <c:pt idx="16">
                  <c:v>290</c:v>
                </c:pt>
                <c:pt idx="17">
                  <c:v>295</c:v>
                </c:pt>
                <c:pt idx="18">
                  <c:v>300</c:v>
                </c:pt>
                <c:pt idx="19">
                  <c:v>305</c:v>
                </c:pt>
                <c:pt idx="20">
                  <c:v>310</c:v>
                </c:pt>
                <c:pt idx="21">
                  <c:v>315</c:v>
                </c:pt>
                <c:pt idx="22">
                  <c:v>320</c:v>
                </c:pt>
                <c:pt idx="23">
                  <c:v>325</c:v>
                </c:pt>
                <c:pt idx="24">
                  <c:v>330</c:v>
                </c:pt>
                <c:pt idx="25">
                  <c:v>335</c:v>
                </c:pt>
                <c:pt idx="26">
                  <c:v>340</c:v>
                </c:pt>
                <c:pt idx="27">
                  <c:v>345</c:v>
                </c:pt>
                <c:pt idx="28">
                  <c:v>350</c:v>
                </c:pt>
                <c:pt idx="29">
                  <c:v>355</c:v>
                </c:pt>
                <c:pt idx="30">
                  <c:v>360</c:v>
                </c:pt>
                <c:pt idx="31">
                  <c:v>365</c:v>
                </c:pt>
              </c:numCache>
            </c:numRef>
          </c:cat>
          <c:val>
            <c:numRef>
              <c:f>sheet5!$F$28:$F$59</c:f>
              <c:numCache>
                <c:formatCode>0</c:formatCode>
                <c:ptCount val="32"/>
                <c:pt idx="0">
                  <c:v>3045</c:v>
                </c:pt>
                <c:pt idx="1">
                  <c:v>2324</c:v>
                </c:pt>
                <c:pt idx="2">
                  <c:v>1846</c:v>
                </c:pt>
                <c:pt idx="3">
                  <c:v>1560</c:v>
                </c:pt>
                <c:pt idx="4">
                  <c:v>1338</c:v>
                </c:pt>
                <c:pt idx="5">
                  <c:v>1178</c:v>
                </c:pt>
                <c:pt idx="6">
                  <c:v>1067</c:v>
                </c:pt>
                <c:pt idx="7">
                  <c:v>971</c:v>
                </c:pt>
                <c:pt idx="8">
                  <c:v>889</c:v>
                </c:pt>
                <c:pt idx="9">
                  <c:v>823</c:v>
                </c:pt>
                <c:pt idx="10">
                  <c:v>759</c:v>
                </c:pt>
                <c:pt idx="11">
                  <c:v>707</c:v>
                </c:pt>
                <c:pt idx="12">
                  <c:v>683</c:v>
                </c:pt>
                <c:pt idx="13">
                  <c:v>658</c:v>
                </c:pt>
                <c:pt idx="14">
                  <c:v>598</c:v>
                </c:pt>
                <c:pt idx="15">
                  <c:v>559</c:v>
                </c:pt>
                <c:pt idx="16">
                  <c:v>564</c:v>
                </c:pt>
                <c:pt idx="17">
                  <c:v>517</c:v>
                </c:pt>
                <c:pt idx="18">
                  <c:v>493</c:v>
                </c:pt>
                <c:pt idx="19">
                  <c:v>467</c:v>
                </c:pt>
                <c:pt idx="20">
                  <c:v>456</c:v>
                </c:pt>
                <c:pt idx="21">
                  <c:v>441</c:v>
                </c:pt>
                <c:pt idx="22">
                  <c:v>421</c:v>
                </c:pt>
                <c:pt idx="23">
                  <c:v>408</c:v>
                </c:pt>
                <c:pt idx="24">
                  <c:v>403</c:v>
                </c:pt>
                <c:pt idx="25">
                  <c:v>380</c:v>
                </c:pt>
                <c:pt idx="26">
                  <c:v>385</c:v>
                </c:pt>
                <c:pt idx="27">
                  <c:v>368</c:v>
                </c:pt>
                <c:pt idx="28">
                  <c:v>369</c:v>
                </c:pt>
                <c:pt idx="29">
                  <c:v>371</c:v>
                </c:pt>
                <c:pt idx="30">
                  <c:v>337</c:v>
                </c:pt>
                <c:pt idx="31">
                  <c:v>336</c:v>
                </c:pt>
              </c:numCache>
            </c:numRef>
          </c:val>
          <c:smooth val="0"/>
          <c:extLst>
            <c:ext xmlns:c16="http://schemas.microsoft.com/office/drawing/2014/chart" uri="{C3380CC4-5D6E-409C-BE32-E72D297353CC}">
              <c16:uniqueId val="{00000000-1AE2-40F4-90DE-FF6ABE4670A8}"/>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Величина начального шага поиска </a:t>
                </a:r>
                <a:r>
                  <a:rPr lang="ru-RU" sz="1400" b="1" i="0" u="none" strike="noStrike" baseline="0">
                    <a:effectLst/>
                  </a:rPr>
                  <a:t>h</a:t>
                </a:r>
                <a:r>
                  <a:rPr lang="ru-RU" sz="1400" b="1" i="0" u="none" strike="noStrike" baseline="30000">
                    <a:effectLst/>
                  </a:rPr>
                  <a:t>0</a:t>
                </a:r>
                <a:endParaRPr lang="ru-RU" sz="14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tickLblSkip val="3"/>
        <c:noMultiLvlLbl val="0"/>
      </c:catAx>
      <c:valAx>
        <c:axId val="1656939808"/>
        <c:scaling>
          <c:orientation val="minMax"/>
          <c:max val="330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550"/>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Таблица 5.</a:t>
            </a:r>
            <a:r>
              <a:rPr lang="en-US" sz="1400" b="1" i="0" u="none" strike="noStrike" baseline="0">
                <a:effectLst/>
              </a:rPr>
              <a:t>3</a:t>
            </a:r>
            <a:r>
              <a:rPr lang="ru-RU" sz="1400" b="1" i="0" u="none" strike="noStrike" baseline="0">
                <a:effectLst/>
              </a:rPr>
              <a:t> График зависимости Количества итераций от начальной цены</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sheet5!$F$62</c:f>
              <c:strCache>
                <c:ptCount val="1"/>
                <c:pt idx="0">
                  <c:v>Колличество итераций</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sheet5!$I$63:$I$120</c:f>
              <c:numCache>
                <c:formatCode>#,##0</c:formatCode>
                <c:ptCount val="58"/>
                <c:pt idx="0">
                  <c:v>1.0000000000304681</c:v>
                </c:pt>
                <c:pt idx="1">
                  <c:v>300.31219245731324</c:v>
                </c:pt>
                <c:pt idx="2">
                  <c:v>599.62438491459602</c:v>
                </c:pt>
                <c:pt idx="3">
                  <c:v>898.9365773718788</c:v>
                </c:pt>
                <c:pt idx="4">
                  <c:v>1198.2487698291616</c:v>
                </c:pt>
                <c:pt idx="5">
                  <c:v>1497.5609622864445</c:v>
                </c:pt>
                <c:pt idx="6">
                  <c:v>1796.8731547437274</c:v>
                </c:pt>
                <c:pt idx="7">
                  <c:v>2096.1853472010102</c:v>
                </c:pt>
                <c:pt idx="8">
                  <c:v>2395.4975396582931</c:v>
                </c:pt>
                <c:pt idx="9">
                  <c:v>2694.809732115576</c:v>
                </c:pt>
                <c:pt idx="10">
                  <c:v>2994.1219245728589</c:v>
                </c:pt>
                <c:pt idx="11">
                  <c:v>3293.4341170301418</c:v>
                </c:pt>
                <c:pt idx="12">
                  <c:v>3592.7463094874247</c:v>
                </c:pt>
                <c:pt idx="13">
                  <c:v>3892.0585019447076</c:v>
                </c:pt>
                <c:pt idx="14">
                  <c:v>4191.3706944019905</c:v>
                </c:pt>
                <c:pt idx="15">
                  <c:v>4490.6828868592729</c:v>
                </c:pt>
                <c:pt idx="16">
                  <c:v>4789.9950793165553</c:v>
                </c:pt>
                <c:pt idx="17">
                  <c:v>5089.3072717738378</c:v>
                </c:pt>
                <c:pt idx="18">
                  <c:v>5388.6194642311202</c:v>
                </c:pt>
                <c:pt idx="19">
                  <c:v>5687.9316566884027</c:v>
                </c:pt>
                <c:pt idx="20">
                  <c:v>5987.2438491456851</c:v>
                </c:pt>
                <c:pt idx="21">
                  <c:v>6286.5560416029675</c:v>
                </c:pt>
                <c:pt idx="22">
                  <c:v>6585.86823406025</c:v>
                </c:pt>
                <c:pt idx="23">
                  <c:v>6885.1804265175324</c:v>
                </c:pt>
                <c:pt idx="24">
                  <c:v>7184.4926189748148</c:v>
                </c:pt>
                <c:pt idx="25">
                  <c:v>7483.8048114320973</c:v>
                </c:pt>
                <c:pt idx="26">
                  <c:v>7783.1170038893797</c:v>
                </c:pt>
                <c:pt idx="27">
                  <c:v>8082.4291963466621</c:v>
                </c:pt>
                <c:pt idx="28">
                  <c:v>8381.7413888039446</c:v>
                </c:pt>
                <c:pt idx="29">
                  <c:v>8681.053581261227</c:v>
                </c:pt>
                <c:pt idx="30">
                  <c:v>8980.3657737185094</c:v>
                </c:pt>
                <c:pt idx="31">
                  <c:v>9279.6779661757919</c:v>
                </c:pt>
                <c:pt idx="32">
                  <c:v>9578.9901586330743</c:v>
                </c:pt>
                <c:pt idx="33">
                  <c:v>9878.3023510903568</c:v>
                </c:pt>
                <c:pt idx="34">
                  <c:v>10177.614543547639</c:v>
                </c:pt>
                <c:pt idx="35">
                  <c:v>10476.926736004922</c:v>
                </c:pt>
                <c:pt idx="36">
                  <c:v>10776.238928462204</c:v>
                </c:pt>
                <c:pt idx="37">
                  <c:v>11075.551120919486</c:v>
                </c:pt>
                <c:pt idx="38">
                  <c:v>11374.863313376769</c:v>
                </c:pt>
                <c:pt idx="39">
                  <c:v>11674.175505834051</c:v>
                </c:pt>
                <c:pt idx="40">
                  <c:v>11973.487698291334</c:v>
                </c:pt>
                <c:pt idx="41">
                  <c:v>12272.799890748616</c:v>
                </c:pt>
                <c:pt idx="42">
                  <c:v>12572.112083205899</c:v>
                </c:pt>
                <c:pt idx="43">
                  <c:v>12871.424275663181</c:v>
                </c:pt>
                <c:pt idx="44">
                  <c:v>13170.736468120464</c:v>
                </c:pt>
                <c:pt idx="45">
                  <c:v>13470.048660577746</c:v>
                </c:pt>
                <c:pt idx="46">
                  <c:v>13769.360853035028</c:v>
                </c:pt>
                <c:pt idx="47">
                  <c:v>14068.673045492311</c:v>
                </c:pt>
                <c:pt idx="48">
                  <c:v>14367.985237949593</c:v>
                </c:pt>
                <c:pt idx="49">
                  <c:v>14667.297430406876</c:v>
                </c:pt>
                <c:pt idx="50">
                  <c:v>14966.609622864158</c:v>
                </c:pt>
                <c:pt idx="51">
                  <c:v>15265.921815321441</c:v>
                </c:pt>
                <c:pt idx="52">
                  <c:v>15565.234007778723</c:v>
                </c:pt>
                <c:pt idx="53">
                  <c:v>15864.546200236005</c:v>
                </c:pt>
                <c:pt idx="54">
                  <c:v>16163.858392693288</c:v>
                </c:pt>
                <c:pt idx="55">
                  <c:v>16463.170585150572</c:v>
                </c:pt>
                <c:pt idx="56">
                  <c:v>16762.482777607856</c:v>
                </c:pt>
                <c:pt idx="57">
                  <c:v>17061.794970065141</c:v>
                </c:pt>
              </c:numCache>
            </c:numRef>
          </c:cat>
          <c:val>
            <c:numRef>
              <c:f>sheet5!$F$63:$F$120</c:f>
              <c:numCache>
                <c:formatCode>0</c:formatCode>
                <c:ptCount val="58"/>
                <c:pt idx="0">
                  <c:v>4541</c:v>
                </c:pt>
                <c:pt idx="1">
                  <c:v>4403</c:v>
                </c:pt>
                <c:pt idx="2">
                  <c:v>4235</c:v>
                </c:pt>
                <c:pt idx="3">
                  <c:v>4097</c:v>
                </c:pt>
                <c:pt idx="4">
                  <c:v>3937</c:v>
                </c:pt>
                <c:pt idx="5">
                  <c:v>3796</c:v>
                </c:pt>
                <c:pt idx="6">
                  <c:v>3663</c:v>
                </c:pt>
                <c:pt idx="7">
                  <c:v>3499</c:v>
                </c:pt>
                <c:pt idx="8">
                  <c:v>3343</c:v>
                </c:pt>
                <c:pt idx="9">
                  <c:v>3203</c:v>
                </c:pt>
                <c:pt idx="10">
                  <c:v>3046</c:v>
                </c:pt>
                <c:pt idx="11">
                  <c:v>2894</c:v>
                </c:pt>
                <c:pt idx="12">
                  <c:v>2755</c:v>
                </c:pt>
                <c:pt idx="13">
                  <c:v>2585</c:v>
                </c:pt>
                <c:pt idx="14">
                  <c:v>2447</c:v>
                </c:pt>
                <c:pt idx="15">
                  <c:v>2311</c:v>
                </c:pt>
                <c:pt idx="16">
                  <c:v>2157</c:v>
                </c:pt>
                <c:pt idx="17">
                  <c:v>2015</c:v>
                </c:pt>
                <c:pt idx="18">
                  <c:v>1848</c:v>
                </c:pt>
                <c:pt idx="19">
                  <c:v>1706</c:v>
                </c:pt>
                <c:pt idx="20">
                  <c:v>1548</c:v>
                </c:pt>
                <c:pt idx="21">
                  <c:v>1397</c:v>
                </c:pt>
                <c:pt idx="22">
                  <c:v>1255</c:v>
                </c:pt>
                <c:pt idx="23">
                  <c:v>1100</c:v>
                </c:pt>
                <c:pt idx="24">
                  <c:v>956</c:v>
                </c:pt>
                <c:pt idx="25">
                  <c:v>802</c:v>
                </c:pt>
                <c:pt idx="26">
                  <c:v>664</c:v>
                </c:pt>
                <c:pt idx="27">
                  <c:v>506</c:v>
                </c:pt>
                <c:pt idx="28">
                  <c:v>353</c:v>
                </c:pt>
                <c:pt idx="29">
                  <c:v>211</c:v>
                </c:pt>
                <c:pt idx="30">
                  <c:v>65</c:v>
                </c:pt>
                <c:pt idx="31">
                  <c:v>1563</c:v>
                </c:pt>
                <c:pt idx="32">
                  <c:v>3059</c:v>
                </c:pt>
                <c:pt idx="33">
                  <c:v>4556</c:v>
                </c:pt>
                <c:pt idx="34">
                  <c:v>6053</c:v>
                </c:pt>
                <c:pt idx="35">
                  <c:v>7548</c:v>
                </c:pt>
                <c:pt idx="36">
                  <c:v>9041</c:v>
                </c:pt>
                <c:pt idx="37">
                  <c:v>10549</c:v>
                </c:pt>
                <c:pt idx="38">
                  <c:v>12039</c:v>
                </c:pt>
                <c:pt idx="39">
                  <c:v>13542</c:v>
                </c:pt>
                <c:pt idx="40">
                  <c:v>15037</c:v>
                </c:pt>
                <c:pt idx="41">
                  <c:v>16524</c:v>
                </c:pt>
                <c:pt idx="42">
                  <c:v>18031</c:v>
                </c:pt>
                <c:pt idx="43">
                  <c:v>19517</c:v>
                </c:pt>
                <c:pt idx="44">
                  <c:v>21010</c:v>
                </c:pt>
                <c:pt idx="45">
                  <c:v>22507</c:v>
                </c:pt>
                <c:pt idx="46">
                  <c:v>24015</c:v>
                </c:pt>
                <c:pt idx="47">
                  <c:v>25523</c:v>
                </c:pt>
                <c:pt idx="48">
                  <c:v>27010</c:v>
                </c:pt>
                <c:pt idx="49">
                  <c:v>28503</c:v>
                </c:pt>
                <c:pt idx="50">
                  <c:v>30000</c:v>
                </c:pt>
                <c:pt idx="51">
                  <c:v>31498</c:v>
                </c:pt>
                <c:pt idx="52">
                  <c:v>32989</c:v>
                </c:pt>
                <c:pt idx="53">
                  <c:v>34487</c:v>
                </c:pt>
                <c:pt idx="54">
                  <c:v>35974</c:v>
                </c:pt>
                <c:pt idx="55">
                  <c:v>37482</c:v>
                </c:pt>
                <c:pt idx="56">
                  <c:v>38980</c:v>
                </c:pt>
                <c:pt idx="57">
                  <c:v>40481</c:v>
                </c:pt>
              </c:numCache>
            </c:numRef>
          </c:val>
          <c:smooth val="0"/>
          <c:extLst>
            <c:ext xmlns:c16="http://schemas.microsoft.com/office/drawing/2014/chart" uri="{C3380CC4-5D6E-409C-BE32-E72D297353CC}">
              <c16:uniqueId val="{00000000-1AE2-40F4-90DE-FF6ABE4670A8}"/>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Начальная цена</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noMultiLvlLbl val="0"/>
      </c:catAx>
      <c:valAx>
        <c:axId val="1656939808"/>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7500"/>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Таблица 5.4: График зависимости Количества итерации от параметра </a:t>
            </a:r>
            <a:r>
              <a:rPr lang="en-US" sz="1400" b="1" i="0" u="none" strike="noStrike" baseline="0">
                <a:effectLst/>
              </a:rPr>
              <a:t>R</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sheet5!$F$123</c:f>
              <c:strCache>
                <c:ptCount val="1"/>
                <c:pt idx="0">
                  <c:v>Колличество итераций</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sheet5!$K$124:$K$182</c:f>
              <c:numCache>
                <c:formatCode>General</c:formatCode>
                <c:ptCount val="59"/>
                <c:pt idx="0">
                  <c:v>1.2</c:v>
                </c:pt>
                <c:pt idx="1">
                  <c:v>1.5</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pt idx="19">
                  <c:v>10.5</c:v>
                </c:pt>
                <c:pt idx="20">
                  <c:v>11</c:v>
                </c:pt>
                <c:pt idx="21">
                  <c:v>11.5</c:v>
                </c:pt>
                <c:pt idx="22">
                  <c:v>12</c:v>
                </c:pt>
                <c:pt idx="23">
                  <c:v>12.5</c:v>
                </c:pt>
                <c:pt idx="24">
                  <c:v>13</c:v>
                </c:pt>
                <c:pt idx="25">
                  <c:v>13.5</c:v>
                </c:pt>
                <c:pt idx="26">
                  <c:v>14</c:v>
                </c:pt>
                <c:pt idx="27">
                  <c:v>14.5</c:v>
                </c:pt>
                <c:pt idx="28">
                  <c:v>15</c:v>
                </c:pt>
                <c:pt idx="29">
                  <c:v>15.5</c:v>
                </c:pt>
                <c:pt idx="30">
                  <c:v>16</c:v>
                </c:pt>
                <c:pt idx="31">
                  <c:v>16.5</c:v>
                </c:pt>
                <c:pt idx="32">
                  <c:v>17</c:v>
                </c:pt>
                <c:pt idx="33">
                  <c:v>17.5</c:v>
                </c:pt>
                <c:pt idx="34">
                  <c:v>18</c:v>
                </c:pt>
                <c:pt idx="35">
                  <c:v>18.5</c:v>
                </c:pt>
                <c:pt idx="36">
                  <c:v>19</c:v>
                </c:pt>
                <c:pt idx="37">
                  <c:v>19.5</c:v>
                </c:pt>
                <c:pt idx="38">
                  <c:v>20</c:v>
                </c:pt>
                <c:pt idx="39">
                  <c:v>20.5</c:v>
                </c:pt>
                <c:pt idx="40">
                  <c:v>21</c:v>
                </c:pt>
                <c:pt idx="41">
                  <c:v>21.5</c:v>
                </c:pt>
                <c:pt idx="42">
                  <c:v>22</c:v>
                </c:pt>
                <c:pt idx="43">
                  <c:v>22.5</c:v>
                </c:pt>
                <c:pt idx="44">
                  <c:v>23</c:v>
                </c:pt>
                <c:pt idx="45">
                  <c:v>23.5</c:v>
                </c:pt>
                <c:pt idx="46">
                  <c:v>24</c:v>
                </c:pt>
                <c:pt idx="47">
                  <c:v>24.5</c:v>
                </c:pt>
                <c:pt idx="48">
                  <c:v>25</c:v>
                </c:pt>
                <c:pt idx="49">
                  <c:v>25.5</c:v>
                </c:pt>
                <c:pt idx="50">
                  <c:v>26</c:v>
                </c:pt>
                <c:pt idx="51">
                  <c:v>26.5</c:v>
                </c:pt>
                <c:pt idx="52">
                  <c:v>27</c:v>
                </c:pt>
                <c:pt idx="53">
                  <c:v>27.5</c:v>
                </c:pt>
                <c:pt idx="54">
                  <c:v>28</c:v>
                </c:pt>
                <c:pt idx="55">
                  <c:v>28.5</c:v>
                </c:pt>
                <c:pt idx="56">
                  <c:v>29</c:v>
                </c:pt>
                <c:pt idx="57">
                  <c:v>29.5</c:v>
                </c:pt>
                <c:pt idx="58">
                  <c:v>30</c:v>
                </c:pt>
              </c:numCache>
            </c:numRef>
          </c:cat>
          <c:val>
            <c:numRef>
              <c:f>sheet5!$F$124:$F$182</c:f>
              <c:numCache>
                <c:formatCode>0</c:formatCode>
                <c:ptCount val="59"/>
                <c:pt idx="0">
                  <c:v>4789</c:v>
                </c:pt>
                <c:pt idx="1">
                  <c:v>4608</c:v>
                </c:pt>
                <c:pt idx="2">
                  <c:v>4559</c:v>
                </c:pt>
                <c:pt idx="3">
                  <c:v>4559</c:v>
                </c:pt>
                <c:pt idx="4">
                  <c:v>4552</c:v>
                </c:pt>
                <c:pt idx="5">
                  <c:v>4550</c:v>
                </c:pt>
                <c:pt idx="6">
                  <c:v>4573</c:v>
                </c:pt>
                <c:pt idx="7">
                  <c:v>4546</c:v>
                </c:pt>
                <c:pt idx="8">
                  <c:v>4553</c:v>
                </c:pt>
                <c:pt idx="9">
                  <c:v>4545</c:v>
                </c:pt>
                <c:pt idx="10">
                  <c:v>4553</c:v>
                </c:pt>
                <c:pt idx="11">
                  <c:v>4547</c:v>
                </c:pt>
                <c:pt idx="12">
                  <c:v>4558</c:v>
                </c:pt>
                <c:pt idx="13">
                  <c:v>4539</c:v>
                </c:pt>
                <c:pt idx="14">
                  <c:v>4543</c:v>
                </c:pt>
                <c:pt idx="15">
                  <c:v>4544</c:v>
                </c:pt>
                <c:pt idx="16">
                  <c:v>4545</c:v>
                </c:pt>
                <c:pt idx="17">
                  <c:v>4551</c:v>
                </c:pt>
                <c:pt idx="18">
                  <c:v>4541</c:v>
                </c:pt>
                <c:pt idx="19">
                  <c:v>4553</c:v>
                </c:pt>
                <c:pt idx="20">
                  <c:v>4558</c:v>
                </c:pt>
                <c:pt idx="21">
                  <c:v>4561</c:v>
                </c:pt>
                <c:pt idx="22">
                  <c:v>4567</c:v>
                </c:pt>
                <c:pt idx="23">
                  <c:v>4555</c:v>
                </c:pt>
                <c:pt idx="24">
                  <c:v>4556</c:v>
                </c:pt>
                <c:pt idx="25">
                  <c:v>4554</c:v>
                </c:pt>
                <c:pt idx="26">
                  <c:v>4554</c:v>
                </c:pt>
                <c:pt idx="27">
                  <c:v>4553</c:v>
                </c:pt>
                <c:pt idx="28">
                  <c:v>4571</c:v>
                </c:pt>
                <c:pt idx="29">
                  <c:v>4555</c:v>
                </c:pt>
                <c:pt idx="30">
                  <c:v>4568</c:v>
                </c:pt>
                <c:pt idx="31">
                  <c:v>4566</c:v>
                </c:pt>
                <c:pt idx="32">
                  <c:v>4553</c:v>
                </c:pt>
                <c:pt idx="33">
                  <c:v>4566</c:v>
                </c:pt>
                <c:pt idx="34">
                  <c:v>4566</c:v>
                </c:pt>
                <c:pt idx="35">
                  <c:v>4563</c:v>
                </c:pt>
                <c:pt idx="36">
                  <c:v>4573</c:v>
                </c:pt>
                <c:pt idx="37">
                  <c:v>4583</c:v>
                </c:pt>
                <c:pt idx="38">
                  <c:v>4562</c:v>
                </c:pt>
                <c:pt idx="39">
                  <c:v>4563</c:v>
                </c:pt>
                <c:pt idx="40">
                  <c:v>4581</c:v>
                </c:pt>
                <c:pt idx="41">
                  <c:v>4574</c:v>
                </c:pt>
                <c:pt idx="42">
                  <c:v>4584</c:v>
                </c:pt>
                <c:pt idx="43">
                  <c:v>4595</c:v>
                </c:pt>
                <c:pt idx="44">
                  <c:v>4563</c:v>
                </c:pt>
                <c:pt idx="45">
                  <c:v>4593</c:v>
                </c:pt>
                <c:pt idx="46">
                  <c:v>4579</c:v>
                </c:pt>
                <c:pt idx="47">
                  <c:v>4580</c:v>
                </c:pt>
                <c:pt idx="48">
                  <c:v>4589</c:v>
                </c:pt>
                <c:pt idx="49">
                  <c:v>4595</c:v>
                </c:pt>
                <c:pt idx="50">
                  <c:v>4588</c:v>
                </c:pt>
                <c:pt idx="51">
                  <c:v>4590</c:v>
                </c:pt>
                <c:pt idx="52">
                  <c:v>4612</c:v>
                </c:pt>
                <c:pt idx="53">
                  <c:v>4571</c:v>
                </c:pt>
                <c:pt idx="54">
                  <c:v>4587</c:v>
                </c:pt>
                <c:pt idx="55">
                  <c:v>4620</c:v>
                </c:pt>
                <c:pt idx="56">
                  <c:v>4577</c:v>
                </c:pt>
                <c:pt idx="57">
                  <c:v>4612</c:v>
                </c:pt>
                <c:pt idx="58">
                  <c:v>4623</c:v>
                </c:pt>
              </c:numCache>
            </c:numRef>
          </c:val>
          <c:smooth val="0"/>
          <c:extLst>
            <c:ext xmlns:c16="http://schemas.microsoft.com/office/drawing/2014/chart" uri="{C3380CC4-5D6E-409C-BE32-E72D297353CC}">
              <c16:uniqueId val="{00000000-1AE2-40F4-90DE-FF6ABE4670A8}"/>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Параметр </a:t>
                </a:r>
                <a:r>
                  <a:rPr lang="en-US" sz="1400" b="1"/>
                  <a:t>R</a:t>
                </a:r>
                <a:endParaRPr lang="ru-RU" sz="14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tickLblSkip val="2"/>
        <c:tickMarkSkip val="1"/>
        <c:noMultiLvlLbl val="0"/>
      </c:catAx>
      <c:valAx>
        <c:axId val="1656939808"/>
        <c:scaling>
          <c:orientation val="minMax"/>
          <c:max val="4809"/>
          <c:min val="453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55"/>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E$6" fmlaRange="$H$5:$H$25" noThreeD="1" sel="2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11" dropStyle="combo" dx="16" fmlaLink="$N$5" fmlaRange="sheet5!$H$12:$H$22" sel="11" val="0"/>
</file>

<file path=xl/ctrlProps/ctrlProp4.xml><?xml version="1.0" encoding="utf-8"?>
<formControlPr xmlns="http://schemas.microsoft.com/office/spreadsheetml/2009/9/main" objectType="List" dx="16" fmlaLink="I5" fmlaRange="H4:H5" noThreeD="1" sel="2" val="0"/>
</file>

<file path=xl/ctrlProps/ctrlProp5.xml><?xml version="1.0" encoding="utf-8"?>
<formControlPr xmlns="http://schemas.microsoft.com/office/spreadsheetml/2009/9/main" objectType="Drop" dropLines="30" dropStyle="combo" dx="16" fmlaLink="$P$5" fmlaRange="sheet5!$G$26:$G$59" sel="31" val="4"/>
</file>

<file path=xl/ctrlProps/ctrlProp6.xml><?xml version="1.0" encoding="utf-8"?>
<formControlPr xmlns="http://schemas.microsoft.com/office/spreadsheetml/2009/9/main" objectType="Drop" dropLines="30" dropStyle="combo" dx="16" fmlaLink="$Q$5" fmlaRange="sheet5!$K$124:$K$182" sel="19" val="0"/>
</file>

<file path=xl/ctrlProps/ctrlProp7.xml><?xml version="1.0" encoding="utf-8"?>
<formControlPr xmlns="http://schemas.microsoft.com/office/spreadsheetml/2009/9/main" objectType="Drop" dropLines="30" dropStyle="combo" dx="16" fmlaLink="$O$5" fmlaRange="sheet5!$I$63:$I$120" sel="1" val="0"/>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6</xdr:row>
          <xdr:rowOff>133350</xdr:rowOff>
        </xdr:from>
        <xdr:to>
          <xdr:col>5</xdr:col>
          <xdr:colOff>28575</xdr:colOff>
          <xdr:row>23</xdr:row>
          <xdr:rowOff>19050</xdr:rowOff>
        </xdr:to>
        <xdr:sp macro="" textlink="">
          <xdr:nvSpPr>
            <xdr:cNvPr id="2050" name="List Box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495300</xdr:colOff>
          <xdr:row>14</xdr:row>
          <xdr:rowOff>85725</xdr:rowOff>
        </xdr:from>
        <xdr:to>
          <xdr:col>22</xdr:col>
          <xdr:colOff>152400</xdr:colOff>
          <xdr:row>18</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KG" sz="1000" b="0" i="0" u="none" strike="noStrike" baseline="0">
                  <a:solidFill>
                    <a:srgbClr val="000000"/>
                  </a:solidFill>
                  <a:latin typeface="Arial Cyr"/>
                  <a:cs typeface="Arial Cyr"/>
                </a:rPr>
                <a:t>Кнопка 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733425</xdr:colOff>
          <xdr:row>4</xdr:row>
          <xdr:rowOff>9525</xdr:rowOff>
        </xdr:from>
        <xdr:to>
          <xdr:col>10</xdr:col>
          <xdr:colOff>0</xdr:colOff>
          <xdr:row>5</xdr:row>
          <xdr:rowOff>0</xdr:rowOff>
        </xdr:to>
        <xdr:sp macro="" textlink="">
          <xdr:nvSpPr>
            <xdr:cNvPr id="1130" name="Drop Down 106" hidden="1">
              <a:extLst>
                <a:ext uri="{63B3BB69-23CF-44E3-9099-C40C66FF867C}">
                  <a14:compatExt spid="_x0000_s1130"/>
                </a:ext>
                <a:ext uri="{FF2B5EF4-FFF2-40B4-BE49-F238E27FC236}">
                  <a16:creationId xmlns:a16="http://schemas.microsoft.com/office/drawing/2014/main" id="{00000000-0008-0000-03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38100</xdr:rowOff>
        </xdr:from>
        <xdr:to>
          <xdr:col>9</xdr:col>
          <xdr:colOff>0</xdr:colOff>
          <xdr:row>5</xdr:row>
          <xdr:rowOff>0</xdr:rowOff>
        </xdr:to>
        <xdr:sp macro="" textlink="">
          <xdr:nvSpPr>
            <xdr:cNvPr id="1189" name="List Box 165"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9525</xdr:rowOff>
        </xdr:from>
        <xdr:to>
          <xdr:col>11</xdr:col>
          <xdr:colOff>0</xdr:colOff>
          <xdr:row>5</xdr:row>
          <xdr:rowOff>9525</xdr:rowOff>
        </xdr:to>
        <xdr:sp macro="" textlink="">
          <xdr:nvSpPr>
            <xdr:cNvPr id="1200" name="Drop Down 176" hidden="1">
              <a:extLst>
                <a:ext uri="{63B3BB69-23CF-44E3-9099-C40C66FF867C}">
                  <a14:compatExt spid="_x0000_s1200"/>
                </a:ext>
                <a:ext uri="{FF2B5EF4-FFF2-40B4-BE49-F238E27FC236}">
                  <a16:creationId xmlns:a16="http://schemas.microsoft.com/office/drawing/2014/main" id="{00000000-0008-0000-0300-0000B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9525</xdr:rowOff>
        </xdr:from>
        <xdr:to>
          <xdr:col>12</xdr:col>
          <xdr:colOff>19050</xdr:colOff>
          <xdr:row>5</xdr:row>
          <xdr:rowOff>0</xdr:rowOff>
        </xdr:to>
        <xdr:sp macro="" textlink="">
          <xdr:nvSpPr>
            <xdr:cNvPr id="1201" name="Drop Down 177" hidden="1">
              <a:extLst>
                <a:ext uri="{63B3BB69-23CF-44E3-9099-C40C66FF867C}">
                  <a14:compatExt spid="_x0000_s1201"/>
                </a:ext>
                <a:ext uri="{FF2B5EF4-FFF2-40B4-BE49-F238E27FC236}">
                  <a16:creationId xmlns:a16="http://schemas.microsoft.com/office/drawing/2014/main" id="{00000000-0008-0000-0300-0000B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581025</xdr:rowOff>
        </xdr:from>
        <xdr:to>
          <xdr:col>17</xdr:col>
          <xdr:colOff>19050</xdr:colOff>
          <xdr:row>5</xdr:row>
          <xdr:rowOff>9525</xdr:rowOff>
        </xdr:to>
        <xdr:sp macro="" textlink="">
          <xdr:nvSpPr>
            <xdr:cNvPr id="1202" name="Drop Down 178" hidden="1">
              <a:extLst>
                <a:ext uri="{63B3BB69-23CF-44E3-9099-C40C66FF867C}">
                  <a14:compatExt spid="_x0000_s1202"/>
                </a:ext>
                <a:ext uri="{FF2B5EF4-FFF2-40B4-BE49-F238E27FC236}">
                  <a16:creationId xmlns:a16="http://schemas.microsoft.com/office/drawing/2014/main" id="{00000000-0008-0000-0300-0000B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50</xdr:col>
      <xdr:colOff>95250</xdr:colOff>
      <xdr:row>7</xdr:row>
      <xdr:rowOff>0</xdr:rowOff>
    </xdr:from>
    <xdr:to>
      <xdr:col>59</xdr:col>
      <xdr:colOff>95250</xdr:colOff>
      <xdr:row>42</xdr:row>
      <xdr:rowOff>95250</xdr:rowOff>
    </xdr:to>
    <xdr:graphicFrame macro="">
      <xdr:nvGraphicFramePr>
        <xdr:cNvPr id="8" name="Chart 8">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258536</xdr:colOff>
      <xdr:row>5</xdr:row>
      <xdr:rowOff>138795</xdr:rowOff>
    </xdr:from>
    <xdr:to>
      <xdr:col>23</xdr:col>
      <xdr:colOff>311727</xdr:colOff>
      <xdr:row>29</xdr:row>
      <xdr:rowOff>121227</xdr:rowOff>
    </xdr:to>
    <xdr:graphicFrame macro="">
      <xdr:nvGraphicFramePr>
        <xdr:cNvPr id="2" name="Диаграмма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255071</xdr:colOff>
      <xdr:row>30</xdr:row>
      <xdr:rowOff>48740</xdr:rowOff>
    </xdr:from>
    <xdr:to>
      <xdr:col>23</xdr:col>
      <xdr:colOff>277091</xdr:colOff>
      <xdr:row>58</xdr:row>
      <xdr:rowOff>86589</xdr:rowOff>
    </xdr:to>
    <xdr:graphicFrame macro="">
      <xdr:nvGraphicFramePr>
        <xdr:cNvPr id="11" name="Диаграмма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293171</xdr:colOff>
      <xdr:row>59</xdr:row>
      <xdr:rowOff>27960</xdr:rowOff>
    </xdr:from>
    <xdr:to>
      <xdr:col>24</xdr:col>
      <xdr:colOff>235324</xdr:colOff>
      <xdr:row>82</xdr:row>
      <xdr:rowOff>44824</xdr:rowOff>
    </xdr:to>
    <xdr:graphicFrame macro="">
      <xdr:nvGraphicFramePr>
        <xdr:cNvPr id="12" name="Диаграмма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310489</xdr:colOff>
      <xdr:row>121</xdr:row>
      <xdr:rowOff>89150</xdr:rowOff>
    </xdr:from>
    <xdr:to>
      <xdr:col>23</xdr:col>
      <xdr:colOff>329045</xdr:colOff>
      <xdr:row>147</xdr:row>
      <xdr:rowOff>28864</xdr:rowOff>
    </xdr:to>
    <xdr:graphicFrame macro="">
      <xdr:nvGraphicFramePr>
        <xdr:cNvPr id="13" name="Диаграмма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K106"/>
  <sheetViews>
    <sheetView topLeftCell="H1" workbookViewId="0">
      <selection activeCell="I6" sqref="I6"/>
    </sheetView>
  </sheetViews>
  <sheetFormatPr defaultRowHeight="12.75" x14ac:dyDescent="0.2"/>
  <cols>
    <col min="1" max="1" width="4.42578125" customWidth="1"/>
    <col min="2" max="2" width="10" customWidth="1"/>
    <col min="3" max="3" width="10.140625" customWidth="1"/>
    <col min="4" max="4" width="6" bestFit="1" customWidth="1"/>
    <col min="5" max="5" width="9" bestFit="1" customWidth="1"/>
    <col min="6" max="6" width="8" bestFit="1" customWidth="1"/>
    <col min="7" max="7" width="19.140625" customWidth="1"/>
    <col min="8" max="8" width="46.7109375" customWidth="1"/>
    <col min="9" max="9" width="13.7109375" customWidth="1"/>
    <col min="10" max="10" width="14.28515625" customWidth="1"/>
    <col min="11" max="11" width="7" customWidth="1"/>
  </cols>
  <sheetData>
    <row r="1" spans="1:11" x14ac:dyDescent="0.2">
      <c r="A1" t="s">
        <v>0</v>
      </c>
    </row>
    <row r="2" spans="1:11" x14ac:dyDescent="0.2">
      <c r="A2" t="s">
        <v>80</v>
      </c>
    </row>
    <row r="3" spans="1:11" x14ac:dyDescent="0.2">
      <c r="A3" s="134" t="s">
        <v>1</v>
      </c>
      <c r="B3" s="135" t="s">
        <v>68</v>
      </c>
      <c r="C3" s="135" t="s">
        <v>69</v>
      </c>
      <c r="D3" s="135" t="s">
        <v>70</v>
      </c>
      <c r="E3" s="135" t="s">
        <v>71</v>
      </c>
      <c r="F3" s="135" t="s">
        <v>72</v>
      </c>
      <c r="G3" s="135" t="s">
        <v>79</v>
      </c>
      <c r="H3" s="135" t="s">
        <v>81</v>
      </c>
      <c r="I3" s="135" t="s">
        <v>73</v>
      </c>
      <c r="J3" s="135" t="s">
        <v>74</v>
      </c>
      <c r="K3" s="136" t="s">
        <v>45</v>
      </c>
    </row>
    <row r="4" spans="1:11" x14ac:dyDescent="0.2">
      <c r="A4" s="137">
        <v>0</v>
      </c>
      <c r="B4" s="138">
        <v>1E+20</v>
      </c>
      <c r="C4" s="137">
        <v>0</v>
      </c>
      <c r="D4" s="137">
        <v>400</v>
      </c>
      <c r="E4" s="137">
        <v>1.1100000000000001</v>
      </c>
      <c r="F4" s="139">
        <v>1.0000000000000001E-5</v>
      </c>
      <c r="G4" s="138">
        <v>400000</v>
      </c>
      <c r="H4" s="140" t="s">
        <v>2</v>
      </c>
      <c r="I4" s="141">
        <f>2*E4*D4/(2*E4-1)</f>
        <v>727.86885245901635</v>
      </c>
      <c r="J4" s="142">
        <f t="shared" ref="J4:J67" si="0">(K4*D4/G4)^(1/(2*E4))</f>
        <v>45462954.695323914</v>
      </c>
      <c r="K4" s="143">
        <f>B4/((1+C4)^(2*E4))</f>
        <v>1E+20</v>
      </c>
    </row>
    <row r="5" spans="1:11" s="152" customFormat="1" ht="15.75" customHeight="1" x14ac:dyDescent="0.2">
      <c r="A5" s="146">
        <v>1</v>
      </c>
      <c r="B5" s="147">
        <v>3.05E+36</v>
      </c>
      <c r="C5" s="146">
        <v>1.012</v>
      </c>
      <c r="D5" s="146">
        <v>7350</v>
      </c>
      <c r="E5" s="146">
        <v>2.7771999999999699</v>
      </c>
      <c r="F5" s="146">
        <v>1.0000000000000001E-5</v>
      </c>
      <c r="G5" s="148">
        <v>101020</v>
      </c>
      <c r="H5" s="1" t="s">
        <v>82</v>
      </c>
      <c r="I5" s="149">
        <f t="shared" ref="I5:I68" si="1">2*E5*D5/(2*E5-1)</f>
        <v>8963.8239943790832</v>
      </c>
      <c r="J5" s="150">
        <f t="shared" si="0"/>
        <v>1148174.841445196</v>
      </c>
      <c r="K5" s="151">
        <f t="shared" ref="K5:K68" si="2">B5/((1+C5)^(2*E5))</f>
        <v>6.2781054685220949E+34</v>
      </c>
    </row>
    <row r="6" spans="1:11" s="165" customFormat="1" ht="15.75" customHeight="1" x14ac:dyDescent="0.2">
      <c r="A6" s="159">
        <v>2</v>
      </c>
      <c r="B6" s="160">
        <v>3.0999999999999999E+36</v>
      </c>
      <c r="C6" s="159">
        <v>1.024</v>
      </c>
      <c r="D6" s="159">
        <v>7370</v>
      </c>
      <c r="E6" s="159">
        <v>2.78829999999996</v>
      </c>
      <c r="F6" s="159">
        <v>1.0000000000000001E-5</v>
      </c>
      <c r="G6" s="161">
        <v>101040</v>
      </c>
      <c r="H6" s="159" t="s">
        <v>83</v>
      </c>
      <c r="I6" s="162">
        <f t="shared" si="1"/>
        <v>8980.3657737185094</v>
      </c>
      <c r="J6" s="163">
        <f t="shared" si="0"/>
        <v>1080326.2091186845</v>
      </c>
      <c r="K6" s="164">
        <f t="shared" si="2"/>
        <v>6.0778247591187063E+34</v>
      </c>
    </row>
    <row r="7" spans="1:11" s="152" customFormat="1" ht="15.75" customHeight="1" x14ac:dyDescent="0.2">
      <c r="A7" s="146">
        <v>3</v>
      </c>
      <c r="B7" s="147">
        <v>3.1499999999999999E+36</v>
      </c>
      <c r="C7" s="146">
        <v>1.036</v>
      </c>
      <c r="D7" s="146">
        <v>7390</v>
      </c>
      <c r="E7" s="146">
        <v>2.7993999999999502</v>
      </c>
      <c r="F7" s="146">
        <v>1.0000000000000001E-5</v>
      </c>
      <c r="G7" s="148">
        <v>101060</v>
      </c>
      <c r="H7" s="146" t="s">
        <v>84</v>
      </c>
      <c r="I7" s="149">
        <f t="shared" si="1"/>
        <v>8996.9409411151082</v>
      </c>
      <c r="J7" s="150">
        <f t="shared" si="0"/>
        <v>1016917.2506178399</v>
      </c>
      <c r="K7" s="151">
        <f t="shared" si="2"/>
        <v>5.8820072381464851E+34</v>
      </c>
    </row>
    <row r="8" spans="1:11" s="152" customFormat="1" ht="15.75" customHeight="1" x14ac:dyDescent="0.2">
      <c r="A8" s="146">
        <v>4</v>
      </c>
      <c r="B8" s="147">
        <v>3.1999999999999999E+36</v>
      </c>
      <c r="C8" s="146">
        <v>1.048</v>
      </c>
      <c r="D8" s="146">
        <v>7410</v>
      </c>
      <c r="E8" s="146">
        <v>2.8104999999999398</v>
      </c>
      <c r="F8" s="146">
        <v>1.0000000000000001E-5</v>
      </c>
      <c r="G8" s="148">
        <v>101080</v>
      </c>
      <c r="H8" s="146" t="s">
        <v>85</v>
      </c>
      <c r="I8" s="149">
        <f t="shared" si="1"/>
        <v>9013.5490153646806</v>
      </c>
      <c r="J8" s="150">
        <f t="shared" si="0"/>
        <v>957631.87444918393</v>
      </c>
      <c r="K8" s="151">
        <f t="shared" si="2"/>
        <v>5.6906819851606197E+34</v>
      </c>
    </row>
    <row r="9" spans="1:11" s="152" customFormat="1" ht="15.75" customHeight="1" x14ac:dyDescent="0.2">
      <c r="A9" s="146">
        <v>5</v>
      </c>
      <c r="B9" s="147">
        <v>3.2499999999999999E+36</v>
      </c>
      <c r="C9" s="146">
        <v>1.06</v>
      </c>
      <c r="D9" s="146">
        <v>7430</v>
      </c>
      <c r="E9" s="146">
        <v>2.8215999999999299</v>
      </c>
      <c r="F9" s="146">
        <v>1.0000000000000001E-5</v>
      </c>
      <c r="G9" s="148">
        <v>101100</v>
      </c>
      <c r="H9" s="146" t="s">
        <v>86</v>
      </c>
      <c r="I9" s="149">
        <f t="shared" si="1"/>
        <v>9030.1895244659354</v>
      </c>
      <c r="J9" s="150">
        <f t="shared" si="0"/>
        <v>902178.14544177451</v>
      </c>
      <c r="K9" s="151">
        <f t="shared" si="2"/>
        <v>5.5038661418898251E+34</v>
      </c>
    </row>
    <row r="10" spans="1:11" s="152" customFormat="1" ht="15.75" customHeight="1" x14ac:dyDescent="0.2">
      <c r="A10" s="146">
        <v>6</v>
      </c>
      <c r="B10" s="147">
        <v>3.2999999999999999E+36</v>
      </c>
      <c r="C10" s="146">
        <v>1.0720000000000001</v>
      </c>
      <c r="D10" s="146">
        <v>7450</v>
      </c>
      <c r="E10" s="146">
        <v>2.8326999999999201</v>
      </c>
      <c r="F10" s="146">
        <v>1.0000000000000001E-5</v>
      </c>
      <c r="G10" s="148">
        <v>101120</v>
      </c>
      <c r="H10" s="146" t="s">
        <v>87</v>
      </c>
      <c r="I10" s="149">
        <f t="shared" si="1"/>
        <v>9046.8620054015209</v>
      </c>
      <c r="J10" s="150">
        <f t="shared" si="0"/>
        <v>850286.32614066824</v>
      </c>
      <c r="K10" s="151">
        <f t="shared" si="2"/>
        <v>5.3215658939965351E+34</v>
      </c>
    </row>
    <row r="11" spans="1:11" s="152" customFormat="1" ht="15.75" customHeight="1" x14ac:dyDescent="0.2">
      <c r="A11" s="146">
        <v>7</v>
      </c>
      <c r="B11" s="147">
        <v>3.3499999999999998E+36</v>
      </c>
      <c r="C11" s="146">
        <v>1.0840000000000001</v>
      </c>
      <c r="D11" s="146">
        <v>7470</v>
      </c>
      <c r="E11" s="146">
        <v>2.8437999999999102</v>
      </c>
      <c r="F11" s="146">
        <v>1.0000000000000001E-5</v>
      </c>
      <c r="G11" s="148">
        <v>101140</v>
      </c>
      <c r="H11" s="146" t="s">
        <v>88</v>
      </c>
      <c r="I11" s="149">
        <f t="shared" si="1"/>
        <v>9063.5660039253107</v>
      </c>
      <c r="J11" s="150">
        <f t="shared" si="0"/>
        <v>801707.08480953577</v>
      </c>
      <c r="K11" s="151">
        <f t="shared" si="2"/>
        <v>5.1437773922844837E+34</v>
      </c>
    </row>
    <row r="12" spans="1:11" s="152" customFormat="1" ht="15.75" customHeight="1" x14ac:dyDescent="0.2">
      <c r="A12" s="146">
        <v>8</v>
      </c>
      <c r="B12" s="147">
        <v>3.3999999999999998E+36</v>
      </c>
      <c r="C12" s="146">
        <v>1.0960000000000001</v>
      </c>
      <c r="D12" s="146">
        <v>7490</v>
      </c>
      <c r="E12" s="146">
        <v>2.8548999999998999</v>
      </c>
      <c r="F12" s="146">
        <v>1.0000000000000001E-5</v>
      </c>
      <c r="G12" s="148">
        <v>101160</v>
      </c>
      <c r="H12" s="146" t="s">
        <v>89</v>
      </c>
      <c r="I12" s="149">
        <f t="shared" si="1"/>
        <v>9080.3010743556679</v>
      </c>
      <c r="J12" s="150">
        <f t="shared" si="0"/>
        <v>756209.85535602528</v>
      </c>
      <c r="K12" s="151">
        <f t="shared" si="2"/>
        <v>4.9704876165806217E+34</v>
      </c>
    </row>
    <row r="13" spans="1:11" s="152" customFormat="1" ht="15.75" customHeight="1" x14ac:dyDescent="0.2">
      <c r="A13" s="146">
        <v>9</v>
      </c>
      <c r="B13" s="147">
        <v>3.4499999999999998E+36</v>
      </c>
      <c r="C13" s="146">
        <v>1.1080000000000001</v>
      </c>
      <c r="D13" s="146">
        <v>7510</v>
      </c>
      <c r="E13" s="146">
        <v>2.86599999999989</v>
      </c>
      <c r="F13" s="146">
        <v>1.0000000000000001E-5</v>
      </c>
      <c r="G13" s="148">
        <v>101180</v>
      </c>
      <c r="H13" s="146" t="s">
        <v>90</v>
      </c>
      <c r="I13" s="149">
        <f t="shared" si="1"/>
        <v>9097.0667793745451</v>
      </c>
      <c r="J13" s="150">
        <f t="shared" si="0"/>
        <v>713581.33581329416</v>
      </c>
      <c r="K13" s="151">
        <f t="shared" si="2"/>
        <v>4.8016751853612302E+34</v>
      </c>
    </row>
    <row r="14" spans="1:11" s="152" customFormat="1" ht="15.75" customHeight="1" x14ac:dyDescent="0.2">
      <c r="A14" s="146">
        <v>10</v>
      </c>
      <c r="B14" s="147">
        <v>3.4999999999999998E+36</v>
      </c>
      <c r="C14" s="146">
        <v>1.1200000000000001</v>
      </c>
      <c r="D14" s="146">
        <v>7530</v>
      </c>
      <c r="E14" s="146">
        <v>2.8770999999998801</v>
      </c>
      <c r="F14" s="146">
        <v>1.0000000000000001E-5</v>
      </c>
      <c r="G14" s="148">
        <v>101200</v>
      </c>
      <c r="H14" s="146" t="s">
        <v>91</v>
      </c>
      <c r="I14" s="149">
        <f t="shared" si="1"/>
        <v>9113.8626898322273</v>
      </c>
      <c r="J14" s="150">
        <f t="shared" si="0"/>
        <v>673624.11321357719</v>
      </c>
      <c r="K14" s="151">
        <f t="shared" si="2"/>
        <v>4.6373111140432745E+34</v>
      </c>
    </row>
    <row r="15" spans="1:11" s="152" customFormat="1" ht="15.75" customHeight="1" x14ac:dyDescent="0.2">
      <c r="A15" s="146">
        <v>11</v>
      </c>
      <c r="B15" s="147">
        <v>3.5499999999999998E+36</v>
      </c>
      <c r="C15" s="146">
        <v>1.1319999999999999</v>
      </c>
      <c r="D15" s="146">
        <v>7550</v>
      </c>
      <c r="E15" s="146">
        <v>2.8881999999998702</v>
      </c>
      <c r="F15" s="146">
        <v>1.0000000000000001E-5</v>
      </c>
      <c r="G15" s="148">
        <v>101220</v>
      </c>
      <c r="H15" s="146" t="s">
        <v>92</v>
      </c>
      <c r="I15" s="149">
        <f t="shared" si="1"/>
        <v>9130.6883845574939</v>
      </c>
      <c r="J15" s="150">
        <f t="shared" si="0"/>
        <v>636155.40378360823</v>
      </c>
      <c r="K15" s="151">
        <f t="shared" si="2"/>
        <v>4.4773595247191657E+34</v>
      </c>
    </row>
    <row r="16" spans="1:11" s="152" customFormat="1" ht="15.75" customHeight="1" x14ac:dyDescent="0.2">
      <c r="A16" s="146">
        <v>12</v>
      </c>
      <c r="B16" s="147">
        <v>3.5999999999999997E+36</v>
      </c>
      <c r="C16" s="146">
        <v>1.1439999999999999</v>
      </c>
      <c r="D16" s="146">
        <v>7570</v>
      </c>
      <c r="E16" s="146">
        <v>2.8992999999998599</v>
      </c>
      <c r="F16" s="146">
        <v>1.0000000000000001E-5</v>
      </c>
      <c r="G16" s="148">
        <v>101240</v>
      </c>
      <c r="H16" s="146" t="s">
        <v>93</v>
      </c>
      <c r="I16" s="149">
        <f t="shared" si="1"/>
        <v>9147.5434501730597</v>
      </c>
      <c r="J16" s="150">
        <f t="shared" si="0"/>
        <v>601005.89838730998</v>
      </c>
      <c r="K16" s="151">
        <f t="shared" si="2"/>
        <v>4.3217783099774785E+34</v>
      </c>
    </row>
    <row r="17" spans="1:11" s="152" customFormat="1" ht="15.75" customHeight="1" x14ac:dyDescent="0.2">
      <c r="A17" s="146">
        <v>13</v>
      </c>
      <c r="B17" s="147">
        <v>3.6499999999999997E+36</v>
      </c>
      <c r="C17" s="146">
        <v>1.1559999999999999</v>
      </c>
      <c r="D17" s="146">
        <v>7590</v>
      </c>
      <c r="E17" s="146">
        <v>2.91039999999985</v>
      </c>
      <c r="F17" s="146">
        <v>1.0000000000000001E-5</v>
      </c>
      <c r="G17" s="148">
        <v>101260</v>
      </c>
      <c r="H17" s="146" t="s">
        <v>94</v>
      </c>
      <c r="I17" s="149">
        <f t="shared" si="1"/>
        <v>9164.4274809161288</v>
      </c>
      <c r="J17" s="150">
        <f t="shared" si="0"/>
        <v>568018.70404640539</v>
      </c>
      <c r="K17" s="151">
        <f t="shared" si="2"/>
        <v>4.1705197533225364E+34</v>
      </c>
    </row>
    <row r="18" spans="1:11" s="152" customFormat="1" ht="15.75" customHeight="1" x14ac:dyDescent="0.2">
      <c r="A18" s="146">
        <v>14</v>
      </c>
      <c r="B18" s="147">
        <v>3.7000000000000003E+36</v>
      </c>
      <c r="C18" s="146">
        <v>1.1679999999999999</v>
      </c>
      <c r="D18" s="146">
        <v>7610</v>
      </c>
      <c r="E18" s="146">
        <v>2.9214999999998401</v>
      </c>
      <c r="F18" s="146">
        <v>1.0000000000000001E-5</v>
      </c>
      <c r="G18" s="148">
        <v>101280</v>
      </c>
      <c r="H18" s="166" t="s">
        <v>95</v>
      </c>
      <c r="I18" s="149">
        <f t="shared" si="1"/>
        <v>9181.3400784638652</v>
      </c>
      <c r="J18" s="150">
        <f t="shared" si="0"/>
        <v>537048.37319273863</v>
      </c>
      <c r="K18" s="151">
        <f t="shared" si="2"/>
        <v>4.0235311085818958E+34</v>
      </c>
    </row>
    <row r="19" spans="1:11" s="152" customFormat="1" ht="15.75" customHeight="1" x14ac:dyDescent="0.2">
      <c r="A19" s="146">
        <v>15</v>
      </c>
      <c r="B19" s="147">
        <v>3.7500000000000003E+36</v>
      </c>
      <c r="C19" s="146">
        <v>1.18</v>
      </c>
      <c r="D19" s="146">
        <v>7630</v>
      </c>
      <c r="E19" s="146">
        <v>2.9325999999998298</v>
      </c>
      <c r="F19" s="146">
        <v>1.0000000000000001E-5</v>
      </c>
      <c r="G19" s="148">
        <v>101300</v>
      </c>
      <c r="H19" s="166" t="s">
        <v>96</v>
      </c>
      <c r="I19" s="149">
        <f t="shared" si="1"/>
        <v>9198.2808517636549</v>
      </c>
      <c r="J19" s="150">
        <f t="shared" si="0"/>
        <v>507960.01305431232</v>
      </c>
      <c r="K19" s="151">
        <f t="shared" si="2"/>
        <v>3.8807551405731128E+34</v>
      </c>
    </row>
    <row r="20" spans="1:11" s="152" customFormat="1" ht="15.75" customHeight="1" x14ac:dyDescent="0.2">
      <c r="A20" s="146">
        <v>16</v>
      </c>
      <c r="B20" s="147">
        <v>3.8000000000000002E+36</v>
      </c>
      <c r="C20" s="146">
        <v>1.1919999999999999</v>
      </c>
      <c r="D20" s="146">
        <v>7650</v>
      </c>
      <c r="E20" s="146">
        <v>2.9436999999998199</v>
      </c>
      <c r="F20" s="146">
        <v>1.0000000000000001E-5</v>
      </c>
      <c r="G20" s="148">
        <v>101320</v>
      </c>
      <c r="H20" s="158" t="s">
        <v>97</v>
      </c>
      <c r="I20" s="149">
        <f t="shared" si="1"/>
        <v>9215.2494168679787</v>
      </c>
      <c r="J20" s="150">
        <f t="shared" si="0"/>
        <v>480628.46825707681</v>
      </c>
      <c r="K20" s="151">
        <f t="shared" si="2"/>
        <v>3.7421306291882226E+34</v>
      </c>
    </row>
    <row r="21" spans="1:11" s="152" customFormat="1" ht="15.75" customHeight="1" x14ac:dyDescent="0.2">
      <c r="A21" s="146">
        <v>17</v>
      </c>
      <c r="B21" s="147">
        <v>3.8500000000000002E+36</v>
      </c>
      <c r="C21" s="146">
        <v>1.204</v>
      </c>
      <c r="D21" s="146">
        <v>7670</v>
      </c>
      <c r="E21" s="146">
        <v>2.95479999999981</v>
      </c>
      <c r="F21" s="146">
        <v>1.0000000000000001E-5</v>
      </c>
      <c r="G21" s="148">
        <v>101340</v>
      </c>
      <c r="H21" s="158" t="s">
        <v>98</v>
      </c>
      <c r="I21" s="149">
        <f t="shared" si="1"/>
        <v>9232.2453967737893</v>
      </c>
      <c r="J21" s="150">
        <f t="shared" si="0"/>
        <v>454937.57034262834</v>
      </c>
      <c r="K21" s="151">
        <f t="shared" si="2"/>
        <v>3.6075928389475779E+34</v>
      </c>
    </row>
    <row r="22" spans="1:11" s="152" customFormat="1" ht="15.75" customHeight="1" x14ac:dyDescent="0.2">
      <c r="A22" s="146">
        <v>18</v>
      </c>
      <c r="B22" s="147">
        <v>3.9000000000000002E+36</v>
      </c>
      <c r="C22" s="146">
        <v>1.216</v>
      </c>
      <c r="D22" s="146">
        <v>7690</v>
      </c>
      <c r="E22" s="146">
        <v>2.9658999999998001</v>
      </c>
      <c r="F22" s="146">
        <v>1.0000000000000001E-5</v>
      </c>
      <c r="G22" s="148">
        <v>101360</v>
      </c>
      <c r="H22" s="158" t="s">
        <v>99</v>
      </c>
      <c r="I22" s="149">
        <f t="shared" si="1"/>
        <v>9249.2684212661952</v>
      </c>
      <c r="J22" s="150">
        <f t="shared" si="0"/>
        <v>430779.44846353366</v>
      </c>
      <c r="K22" s="151">
        <f t="shared" si="2"/>
        <v>3.4770739559715872E+34</v>
      </c>
    </row>
    <row r="23" spans="1:11" s="152" customFormat="1" ht="15.75" customHeight="1" x14ac:dyDescent="0.2">
      <c r="A23" s="146">
        <v>19</v>
      </c>
      <c r="B23" s="147">
        <v>3.9500000000000002E+36</v>
      </c>
      <c r="C23" s="146">
        <v>1.228</v>
      </c>
      <c r="D23" s="146">
        <v>7710</v>
      </c>
      <c r="E23" s="146">
        <v>2.9769999999997898</v>
      </c>
      <c r="F23" s="146">
        <v>1.0000000000000001E-5</v>
      </c>
      <c r="G23" s="148">
        <v>101380</v>
      </c>
      <c r="H23" s="158" t="s">
        <v>100</v>
      </c>
      <c r="I23" s="149">
        <f t="shared" si="1"/>
        <v>9266.3181267663822</v>
      </c>
      <c r="J23" s="150">
        <f t="shared" si="0"/>
        <v>408053.89602854248</v>
      </c>
      <c r="K23" s="151">
        <f t="shared" si="2"/>
        <v>3.35050349422198E+34</v>
      </c>
    </row>
    <row r="24" spans="1:11" s="152" customFormat="1" ht="15.75" customHeight="1" x14ac:dyDescent="0.2">
      <c r="A24" s="146">
        <v>20</v>
      </c>
      <c r="B24" s="147">
        <v>4.0000000000000002E+36</v>
      </c>
      <c r="C24" s="146">
        <v>1.24</v>
      </c>
      <c r="D24" s="146">
        <v>7730</v>
      </c>
      <c r="E24" s="146">
        <v>2.9880999999997799</v>
      </c>
      <c r="F24" s="146">
        <v>1.0000000000000001E-5</v>
      </c>
      <c r="G24" s="148">
        <v>101400</v>
      </c>
      <c r="H24" s="158" t="s">
        <v>101</v>
      </c>
      <c r="I24" s="149">
        <f t="shared" si="1"/>
        <v>9283.3941561835709</v>
      </c>
      <c r="J24" s="150">
        <f t="shared" si="0"/>
        <v>386667.78853374068</v>
      </c>
      <c r="K24" s="151">
        <f t="shared" si="2"/>
        <v>3.2278086727703439E+34</v>
      </c>
    </row>
    <row r="25" spans="1:11" s="152" customFormat="1" ht="15.75" customHeight="1" x14ac:dyDescent="0.2">
      <c r="A25" s="146">
        <v>21</v>
      </c>
      <c r="B25" s="147">
        <v>4.0500000000000001E+36</v>
      </c>
      <c r="C25" s="146">
        <v>1.252</v>
      </c>
      <c r="D25" s="146">
        <v>7750</v>
      </c>
      <c r="E25" s="146">
        <v>2.99919999999977</v>
      </c>
      <c r="F25" s="146">
        <v>1.0000000000000001E-5</v>
      </c>
      <c r="G25" s="148">
        <v>101420</v>
      </c>
      <c r="H25" s="158" t="s">
        <v>102</v>
      </c>
      <c r="I25" s="149">
        <f t="shared" si="1"/>
        <v>9300.4961587709495</v>
      </c>
      <c r="J25" s="150">
        <f t="shared" si="0"/>
        <v>366534.54823742952</v>
      </c>
      <c r="K25" s="151">
        <f t="shared" si="2"/>
        <v>3.1089147657635384E+34</v>
      </c>
    </row>
    <row r="26" spans="1:11" s="152" customFormat="1" ht="15.75" customHeight="1" x14ac:dyDescent="0.2">
      <c r="A26" s="146">
        <v>22</v>
      </c>
      <c r="B26" s="147">
        <v>4.1000000000000001E+36</v>
      </c>
      <c r="C26" s="146">
        <v>1.264</v>
      </c>
      <c r="D26" s="146">
        <v>7770</v>
      </c>
      <c r="E26" s="146">
        <v>3.0102999999997602</v>
      </c>
      <c r="F26" s="146">
        <v>1.0000000000000001E-5</v>
      </c>
      <c r="G26" s="148">
        <v>101440</v>
      </c>
      <c r="H26" s="158" t="s">
        <v>103</v>
      </c>
      <c r="I26" s="149">
        <f t="shared" si="1"/>
        <v>9317.6237899854077</v>
      </c>
      <c r="J26" s="150">
        <f t="shared" si="0"/>
        <v>347573.65171968896</v>
      </c>
      <c r="K26" s="151">
        <f t="shared" si="2"/>
        <v>2.9937454266702035E+34</v>
      </c>
    </row>
    <row r="27" spans="1:11" s="152" customFormat="1" ht="15.75" customHeight="1" x14ac:dyDescent="0.2">
      <c r="A27" s="146">
        <v>23</v>
      </c>
      <c r="B27" s="147">
        <v>4.1500000000000001E+36</v>
      </c>
      <c r="C27" s="146">
        <v>1.276</v>
      </c>
      <c r="D27" s="146">
        <v>7790</v>
      </c>
      <c r="E27" s="146">
        <v>3.0213999999997498</v>
      </c>
      <c r="F27" s="146">
        <v>1.0000000000000001E-5</v>
      </c>
      <c r="G27" s="148">
        <v>101460</v>
      </c>
      <c r="H27" s="153"/>
      <c r="I27" s="149">
        <f t="shared" si="1"/>
        <v>9334.7767113509908</v>
      </c>
      <c r="J27" s="150">
        <f t="shared" si="0"/>
        <v>329710.17671605176</v>
      </c>
      <c r="K27" s="151">
        <f t="shared" si="2"/>
        <v>2.8822229883124427E+34</v>
      </c>
    </row>
    <row r="28" spans="1:11" s="152" customFormat="1" ht="15.75" customHeight="1" x14ac:dyDescent="0.2">
      <c r="A28" s="146">
        <v>24</v>
      </c>
      <c r="B28" s="147">
        <v>4.2000000000000001E+36</v>
      </c>
      <c r="C28" s="146">
        <v>1.288</v>
      </c>
      <c r="D28" s="146">
        <v>7810</v>
      </c>
      <c r="E28" s="146">
        <v>3.03249999999974</v>
      </c>
      <c r="F28" s="146">
        <v>1.0000000000000001E-5</v>
      </c>
      <c r="G28" s="148">
        <v>101480</v>
      </c>
      <c r="H28" s="153"/>
      <c r="I28" s="149">
        <f t="shared" si="1"/>
        <v>9351.9545903259241</v>
      </c>
      <c r="J28" s="150">
        <f t="shared" si="0"/>
        <v>312874.38493150059</v>
      </c>
      <c r="K28" s="151">
        <f t="shared" si="2"/>
        <v>2.7742687401091655E+34</v>
      </c>
    </row>
    <row r="29" spans="1:11" s="152" customFormat="1" ht="15.75" customHeight="1" x14ac:dyDescent="0.2">
      <c r="A29" s="146">
        <v>25</v>
      </c>
      <c r="B29" s="147">
        <v>4.2500000000000001E+36</v>
      </c>
      <c r="C29" s="146">
        <v>1.3</v>
      </c>
      <c r="D29" s="146">
        <v>7830</v>
      </c>
      <c r="E29" s="146">
        <v>3.0435999999997301</v>
      </c>
      <c r="F29" s="146">
        <v>1.0000000000000001E-5</v>
      </c>
      <c r="G29" s="148">
        <v>101500</v>
      </c>
      <c r="H29" s="153"/>
      <c r="I29" s="149">
        <f t="shared" si="1"/>
        <v>9369.1571001731463</v>
      </c>
      <c r="J29" s="150">
        <f t="shared" si="0"/>
        <v>297001.33782913344</v>
      </c>
      <c r="K29" s="151">
        <f t="shared" si="2"/>
        <v>2.6698031838847231E+34</v>
      </c>
    </row>
    <row r="30" spans="1:11" ht="15.75" customHeight="1" x14ac:dyDescent="0.2">
      <c r="A30" s="146">
        <v>26</v>
      </c>
      <c r="B30" s="147">
        <v>4.3E+36</v>
      </c>
      <c r="C30" s="146">
        <v>1.3120000000000001</v>
      </c>
      <c r="D30" s="146">
        <v>7850</v>
      </c>
      <c r="E30" s="146">
        <v>3.0546999999997202</v>
      </c>
      <c r="F30" s="146">
        <v>1.0000000000000001E-5</v>
      </c>
      <c r="G30" s="148">
        <v>101520</v>
      </c>
      <c r="H30" s="153"/>
      <c r="I30" s="149">
        <f t="shared" si="1"/>
        <v>9386.3839198341993</v>
      </c>
      <c r="J30" s="150">
        <f t="shared" si="0"/>
        <v>282030.54264985252</v>
      </c>
      <c r="K30" s="151">
        <f t="shared" si="2"/>
        <v>2.5687462695259001E+34</v>
      </c>
    </row>
    <row r="31" spans="1:11" ht="15.75" customHeight="1" x14ac:dyDescent="0.2">
      <c r="A31" s="146">
        <v>27</v>
      </c>
      <c r="B31" s="147">
        <v>4.35E+36</v>
      </c>
      <c r="C31" s="146">
        <v>1.3240000000000001</v>
      </c>
      <c r="D31" s="146">
        <v>7870</v>
      </c>
      <c r="E31" s="146">
        <v>3.0657999999997099</v>
      </c>
      <c r="F31" s="146">
        <v>1.0000000000000001E-5</v>
      </c>
      <c r="G31" s="148">
        <v>101540</v>
      </c>
      <c r="H31" s="153"/>
      <c r="I31" s="149">
        <f t="shared" si="1"/>
        <v>9403.6347338063933</v>
      </c>
      <c r="J31" s="150">
        <f t="shared" si="0"/>
        <v>267905.62615790428</v>
      </c>
      <c r="K31" s="151">
        <f t="shared" si="2"/>
        <v>2.4710176117042671E+34</v>
      </c>
    </row>
    <row r="32" spans="1:11" ht="15.75" customHeight="1" x14ac:dyDescent="0.2">
      <c r="A32" s="146">
        <v>28</v>
      </c>
      <c r="B32" s="147">
        <v>4.4E+36</v>
      </c>
      <c r="C32" s="146">
        <v>1.3360000000000001</v>
      </c>
      <c r="D32" s="146">
        <v>7890</v>
      </c>
      <c r="E32" s="146">
        <v>3.0768999999997</v>
      </c>
      <c r="F32" s="146">
        <v>1.0000000000000001E-5</v>
      </c>
      <c r="G32" s="148">
        <v>101560</v>
      </c>
      <c r="H32" s="153"/>
      <c r="I32" s="149">
        <f t="shared" si="1"/>
        <v>9420.9092320231521</v>
      </c>
      <c r="J32" s="150">
        <f t="shared" si="0"/>
        <v>254574.03382403826</v>
      </c>
      <c r="K32" s="151">
        <f t="shared" si="2"/>
        <v>2.3765366888167181E+34</v>
      </c>
    </row>
    <row r="33" spans="1:11" ht="15.75" customHeight="1" x14ac:dyDescent="0.2">
      <c r="A33" s="146">
        <v>29</v>
      </c>
      <c r="B33" s="147">
        <v>4.45E+36</v>
      </c>
      <c r="C33" s="146">
        <v>1.3480000000000001</v>
      </c>
      <c r="D33" s="146">
        <v>7910</v>
      </c>
      <c r="E33" s="146">
        <v>3.0879999999996901</v>
      </c>
      <c r="F33" s="146">
        <v>1.0000000000000001E-5</v>
      </c>
      <c r="G33" s="148">
        <v>101580</v>
      </c>
      <c r="H33" s="153"/>
      <c r="I33" s="149">
        <f t="shared" si="1"/>
        <v>9438.2071097374319</v>
      </c>
      <c r="J33" s="150">
        <f t="shared" si="0"/>
        <v>241986.7523555253</v>
      </c>
      <c r="K33" s="151">
        <f t="shared" si="2"/>
        <v>2.285223025237058E+34</v>
      </c>
    </row>
    <row r="34" spans="1:11" ht="15.75" customHeight="1" x14ac:dyDescent="0.2">
      <c r="A34" s="146">
        <v>30</v>
      </c>
      <c r="B34" s="147">
        <v>4.5E+36</v>
      </c>
      <c r="C34" s="146">
        <v>1.36</v>
      </c>
      <c r="D34" s="146">
        <v>7930</v>
      </c>
      <c r="E34" s="146">
        <v>3.0990999999996802</v>
      </c>
      <c r="F34" s="146">
        <v>1.0000000000000001E-5</v>
      </c>
      <c r="G34" s="148">
        <v>101600</v>
      </c>
      <c r="H34" s="153"/>
      <c r="I34" s="149">
        <f t="shared" si="1"/>
        <v>9455.5280674081368</v>
      </c>
      <c r="J34" s="150">
        <f t="shared" si="0"/>
        <v>230098.05366210948</v>
      </c>
      <c r="K34" s="151">
        <f t="shared" si="2"/>
        <v>2.1969963579132892E+34</v>
      </c>
    </row>
    <row r="35" spans="1:11" ht="15.75" customHeight="1" x14ac:dyDescent="0.2">
      <c r="A35" s="146">
        <v>31</v>
      </c>
      <c r="B35" s="147">
        <v>4.5499999999999999E+36</v>
      </c>
      <c r="C35" s="146">
        <v>1.3720000000000001</v>
      </c>
      <c r="D35" s="146">
        <v>7950</v>
      </c>
      <c r="E35" s="146">
        <v>3.1101999999996699</v>
      </c>
      <c r="F35" s="146">
        <v>1.0000000000000001E-5</v>
      </c>
      <c r="G35" s="148">
        <v>101620</v>
      </c>
      <c r="H35" s="153"/>
      <c r="I35" s="149">
        <f t="shared" si="1"/>
        <v>9472.8718105894204</v>
      </c>
      <c r="J35" s="150">
        <f t="shared" si="0"/>
        <v>218865.25851068742</v>
      </c>
      <c r="K35" s="151">
        <f t="shared" si="2"/>
        <v>2.1117767882907691E+34</v>
      </c>
    </row>
    <row r="36" spans="1:11" ht="15.75" customHeight="1" x14ac:dyDescent="0.2">
      <c r="A36" s="146">
        <v>32</v>
      </c>
      <c r="B36" s="147">
        <v>4.5999999999999999E+36</v>
      </c>
      <c r="C36" s="146">
        <v>1.3839999999999999</v>
      </c>
      <c r="D36" s="146">
        <v>7970</v>
      </c>
      <c r="E36" s="146">
        <v>3.12129999999966</v>
      </c>
      <c r="F36" s="146">
        <v>1.0000000000000001E-5</v>
      </c>
      <c r="G36" s="148">
        <v>101640</v>
      </c>
      <c r="H36" s="153"/>
      <c r="I36" s="149">
        <f t="shared" si="1"/>
        <v>9490.2380498228049</v>
      </c>
      <c r="J36" s="150">
        <f t="shared" si="0"/>
        <v>208248.51827068924</v>
      </c>
      <c r="K36" s="151">
        <f t="shared" si="2"/>
        <v>2.0294849204887115E+34</v>
      </c>
    </row>
    <row r="37" spans="1:11" ht="15.75" customHeight="1" x14ac:dyDescent="0.2">
      <c r="A37" s="146">
        <v>33</v>
      </c>
      <c r="B37" s="147">
        <v>4.6499999999999999E+36</v>
      </c>
      <c r="C37" s="146">
        <v>1.3959999999999999</v>
      </c>
      <c r="D37" s="146">
        <v>7990</v>
      </c>
      <c r="E37" s="146">
        <v>3.1323999999996501</v>
      </c>
      <c r="F37" s="146">
        <v>1.0000000000000001E-5</v>
      </c>
      <c r="G37" s="148">
        <v>101660</v>
      </c>
      <c r="H37" s="153"/>
      <c r="I37" s="149">
        <f t="shared" si="1"/>
        <v>9507.6265005320365</v>
      </c>
      <c r="J37" s="150">
        <f t="shared" si="0"/>
        <v>198210.61328806687</v>
      </c>
      <c r="K37" s="151">
        <f t="shared" si="2"/>
        <v>1.9500419866080046E+34</v>
      </c>
    </row>
    <row r="38" spans="1:11" ht="15.75" customHeight="1" x14ac:dyDescent="0.2">
      <c r="A38" s="146">
        <v>34</v>
      </c>
      <c r="B38" s="147">
        <v>4.6999999999999999E+36</v>
      </c>
      <c r="C38" s="146">
        <v>1.4079999999999999</v>
      </c>
      <c r="D38" s="146">
        <v>8010</v>
      </c>
      <c r="E38" s="146">
        <v>3.1434999999996398</v>
      </c>
      <c r="F38" s="146">
        <v>1.0000000000000001E-5</v>
      </c>
      <c r="G38" s="148">
        <v>101680</v>
      </c>
      <c r="H38" s="153"/>
      <c r="I38" s="149">
        <f t="shared" si="1"/>
        <v>9525.0368829205781</v>
      </c>
      <c r="J38" s="150">
        <f t="shared" si="0"/>
        <v>188716.76654967258</v>
      </c>
      <c r="K38" s="151">
        <f t="shared" si="2"/>
        <v>1.8733699600006368E+34</v>
      </c>
    </row>
    <row r="39" spans="1:11" ht="15.75" customHeight="1" x14ac:dyDescent="0.2">
      <c r="A39" s="146">
        <v>35</v>
      </c>
      <c r="B39" s="147">
        <v>4.7499999999999999E+36</v>
      </c>
      <c r="C39" s="146">
        <v>1.42</v>
      </c>
      <c r="D39" s="146">
        <v>8030</v>
      </c>
      <c r="E39" s="146">
        <v>3.1545999999996299</v>
      </c>
      <c r="F39" s="146">
        <v>1.0000000000000001E-5</v>
      </c>
      <c r="G39" s="148">
        <v>101700</v>
      </c>
      <c r="H39" s="153"/>
      <c r="I39" s="149">
        <f t="shared" si="1"/>
        <v>9542.4689218716794</v>
      </c>
      <c r="J39" s="150">
        <f t="shared" si="0"/>
        <v>179734.47141279813</v>
      </c>
      <c r="K39" s="151">
        <f t="shared" si="2"/>
        <v>1.7993916572860632E+34</v>
      </c>
    </row>
    <row r="40" spans="1:11" ht="15.75" customHeight="1" x14ac:dyDescent="0.2">
      <c r="A40" s="146">
        <v>36</v>
      </c>
      <c r="B40" s="147">
        <v>4.7999999999999998E+36</v>
      </c>
      <c r="C40" s="146">
        <v>1.4319999999999999</v>
      </c>
      <c r="D40" s="146">
        <v>8050</v>
      </c>
      <c r="E40" s="146">
        <v>3.16569999999962</v>
      </c>
      <c r="F40" s="146">
        <v>1.0000000000000001E-5</v>
      </c>
      <c r="G40" s="148">
        <v>101720</v>
      </c>
      <c r="H40" s="153"/>
      <c r="I40" s="149">
        <f t="shared" si="1"/>
        <v>9559.9223468509499</v>
      </c>
      <c r="J40" s="150">
        <f t="shared" si="0"/>
        <v>171233.33227765799</v>
      </c>
      <c r="K40" s="151">
        <f t="shared" si="2"/>
        <v>1.7280308298568448E+34</v>
      </c>
    </row>
    <row r="41" spans="1:11" ht="15.75" customHeight="1" x14ac:dyDescent="0.2">
      <c r="A41" s="146">
        <v>37</v>
      </c>
      <c r="B41" s="147">
        <v>4.8499999999999998E+36</v>
      </c>
      <c r="C41" s="146">
        <v>1.444</v>
      </c>
      <c r="D41" s="146">
        <v>8070</v>
      </c>
      <c r="E41" s="146">
        <v>3.1767999999996102</v>
      </c>
      <c r="F41" s="146">
        <v>1.0000000000000001E-5</v>
      </c>
      <c r="G41" s="148">
        <v>101740</v>
      </c>
      <c r="H41" s="153"/>
      <c r="I41" s="149">
        <f t="shared" si="1"/>
        <v>9577.3968918113369</v>
      </c>
      <c r="J41" s="150">
        <f t="shared" si="0"/>
        <v>163184.9171746046</v>
      </c>
      <c r="K41" s="151">
        <f t="shared" si="2"/>
        <v>1.6592122455749619E+34</v>
      </c>
    </row>
    <row r="42" spans="1:11" ht="15.75" customHeight="1" x14ac:dyDescent="0.2">
      <c r="A42" s="146">
        <v>38</v>
      </c>
      <c r="B42" s="147">
        <v>4.8999999999999998E+36</v>
      </c>
      <c r="C42" s="146">
        <v>1.456</v>
      </c>
      <c r="D42" s="146">
        <v>8090</v>
      </c>
      <c r="E42" s="146">
        <v>3.1878999999995998</v>
      </c>
      <c r="F42" s="146">
        <v>1.0000000000000001E-5</v>
      </c>
      <c r="G42" s="148">
        <v>101760</v>
      </c>
      <c r="H42" s="153"/>
      <c r="I42" s="149">
        <f t="shared" si="1"/>
        <v>9594.8922951004879</v>
      </c>
      <c r="J42" s="150">
        <f t="shared" si="0"/>
        <v>155562.62132365658</v>
      </c>
      <c r="K42" s="151">
        <f t="shared" si="2"/>
        <v>1.5928617613214849E+34</v>
      </c>
    </row>
    <row r="43" spans="1:11" ht="15.75" customHeight="1" x14ac:dyDescent="0.2">
      <c r="A43" s="146">
        <v>39</v>
      </c>
      <c r="B43" s="147">
        <v>4.9499999999999998E+36</v>
      </c>
      <c r="C43" s="146">
        <v>1.468</v>
      </c>
      <c r="D43" s="146">
        <v>8110</v>
      </c>
      <c r="E43" s="146">
        <v>3.1989999999995899</v>
      </c>
      <c r="F43" s="146">
        <v>1.0000000000000001E-5</v>
      </c>
      <c r="G43" s="148">
        <v>101780</v>
      </c>
      <c r="H43" s="153"/>
      <c r="I43" s="149">
        <f t="shared" si="1"/>
        <v>9612.4082993703651</v>
      </c>
      <c r="J43" s="150">
        <f t="shared" si="0"/>
        <v>148341.54080223764</v>
      </c>
      <c r="K43" s="151">
        <f t="shared" si="2"/>
        <v>1.5289063870251704E+34</v>
      </c>
    </row>
    <row r="44" spans="1:11" ht="15.75" customHeight="1" x14ac:dyDescent="0.2">
      <c r="A44" s="146">
        <v>40</v>
      </c>
      <c r="B44" s="147">
        <v>4.9999999999999998E+36</v>
      </c>
      <c r="C44" s="146">
        <v>1.48</v>
      </c>
      <c r="D44" s="146">
        <v>8130</v>
      </c>
      <c r="E44" s="146">
        <v>3.2100999999995801</v>
      </c>
      <c r="F44" s="146">
        <v>1.0000000000000001E-5</v>
      </c>
      <c r="G44" s="148">
        <v>101800</v>
      </c>
      <c r="H44" s="153"/>
      <c r="I44" s="149">
        <f t="shared" si="1"/>
        <v>9629.9446514891079</v>
      </c>
      <c r="J44" s="150">
        <f t="shared" si="0"/>
        <v>141498.35552854059</v>
      </c>
      <c r="K44" s="151">
        <f t="shared" si="2"/>
        <v>1.4672743417605269E+34</v>
      </c>
    </row>
    <row r="45" spans="1:11" ht="15.75" customHeight="1" x14ac:dyDescent="0.2">
      <c r="A45" s="146">
        <v>41</v>
      </c>
      <c r="B45" s="147">
        <v>5.0499999999999997E+36</v>
      </c>
      <c r="C45" s="146">
        <v>1.492</v>
      </c>
      <c r="D45" s="146">
        <v>8150</v>
      </c>
      <c r="E45" s="146">
        <v>3.22119999999958</v>
      </c>
      <c r="F45" s="146">
        <v>1.0000000000000001E-5</v>
      </c>
      <c r="G45" s="148">
        <v>101820</v>
      </c>
      <c r="H45" s="153"/>
      <c r="I45" s="149">
        <f t="shared" si="1"/>
        <v>9647.5011024550295</v>
      </c>
      <c r="J45" s="150">
        <f t="shared" si="0"/>
        <v>135011.22083328353</v>
      </c>
      <c r="K45" s="151">
        <f t="shared" si="2"/>
        <v>1.4078951024724162E+34</v>
      </c>
    </row>
    <row r="46" spans="1:11" ht="15.75" customHeight="1" x14ac:dyDescent="0.2">
      <c r="A46" s="146">
        <v>42</v>
      </c>
      <c r="B46" s="147">
        <v>5.0999999999999997E+36</v>
      </c>
      <c r="C46" s="146">
        <v>1.504</v>
      </c>
      <c r="D46" s="146">
        <v>8170</v>
      </c>
      <c r="E46" s="146">
        <v>3.2322999999995599</v>
      </c>
      <c r="F46" s="146">
        <v>1.0000000000000001E-5</v>
      </c>
      <c r="G46" s="148">
        <v>101840</v>
      </c>
      <c r="H46" s="153"/>
      <c r="I46" s="149">
        <f t="shared" si="1"/>
        <v>9665.0774073127614</v>
      </c>
      <c r="J46" s="150">
        <f t="shared" si="0"/>
        <v>128859.66695235857</v>
      </c>
      <c r="K46" s="151">
        <f t="shared" si="2"/>
        <v>1.3506994458527189E+34</v>
      </c>
    </row>
    <row r="47" spans="1:11" ht="15.75" customHeight="1" x14ac:dyDescent="0.2">
      <c r="A47" s="146">
        <v>43</v>
      </c>
      <c r="B47" s="147">
        <v>5.1499999999999997E+36</v>
      </c>
      <c r="C47" s="146">
        <v>1.516</v>
      </c>
      <c r="D47" s="146">
        <v>8190</v>
      </c>
      <c r="E47" s="146">
        <v>3.24339999999955</v>
      </c>
      <c r="F47" s="146">
        <v>1.0000000000000001E-5</v>
      </c>
      <c r="G47" s="148">
        <v>101860</v>
      </c>
      <c r="H47" s="154"/>
      <c r="I47" s="149">
        <f t="shared" si="1"/>
        <v>9682.6733250713241</v>
      </c>
      <c r="J47" s="150">
        <f t="shared" si="0"/>
        <v>123024.5058273327</v>
      </c>
      <c r="K47" s="151">
        <f t="shared" si="2"/>
        <v>1.2956194838637687E+34</v>
      </c>
    </row>
    <row r="48" spans="1:11" ht="15.75" customHeight="1" x14ac:dyDescent="0.2">
      <c r="A48" s="146">
        <v>44</v>
      </c>
      <c r="B48" s="147">
        <v>5.2000000000000003E+36</v>
      </c>
      <c r="C48" s="146">
        <v>1.528</v>
      </c>
      <c r="D48" s="146">
        <v>8210</v>
      </c>
      <c r="E48" s="146">
        <v>3.2544999999995401</v>
      </c>
      <c r="F48" s="146">
        <v>1.0000000000000001E-5</v>
      </c>
      <c r="G48" s="148">
        <v>101880</v>
      </c>
      <c r="H48" s="155"/>
      <c r="I48" s="149">
        <f t="shared" si="1"/>
        <v>9700.2886186243177</v>
      </c>
      <c r="J48" s="150">
        <f t="shared" si="0"/>
        <v>117487.74465096474</v>
      </c>
      <c r="K48" s="151">
        <f t="shared" si="2"/>
        <v>1.2425886933759977E+34</v>
      </c>
    </row>
    <row r="49" spans="1:11" ht="15.75" customHeight="1" x14ac:dyDescent="0.2">
      <c r="A49" s="146">
        <v>45</v>
      </c>
      <c r="B49" s="147">
        <v>5.2500000000000003E+36</v>
      </c>
      <c r="C49" s="146">
        <v>1.54</v>
      </c>
      <c r="D49" s="146">
        <v>8230</v>
      </c>
      <c r="E49" s="146">
        <v>3.26559999999954</v>
      </c>
      <c r="F49" s="146">
        <v>1.0000000000000001E-5</v>
      </c>
      <c r="G49" s="148">
        <v>101900</v>
      </c>
      <c r="H49" s="155"/>
      <c r="I49" s="149">
        <f t="shared" si="1"/>
        <v>9717.9230546719282</v>
      </c>
      <c r="J49" s="150">
        <f t="shared" si="0"/>
        <v>112232.50564019264</v>
      </c>
      <c r="K49" s="151">
        <f t="shared" si="2"/>
        <v>1.1915419403582756E+34</v>
      </c>
    </row>
    <row r="50" spans="1:11" ht="15.75" customHeight="1" x14ac:dyDescent="0.2">
      <c r="A50" s="146">
        <v>46</v>
      </c>
      <c r="B50" s="147">
        <v>5.3000000000000002E+36</v>
      </c>
      <c r="C50" s="146">
        <v>1.552</v>
      </c>
      <c r="D50" s="146">
        <v>8250</v>
      </c>
      <c r="E50" s="146">
        <v>3.2766999999995199</v>
      </c>
      <c r="F50" s="146">
        <v>1.0000000000000001E-5</v>
      </c>
      <c r="G50" s="148">
        <v>101920</v>
      </c>
      <c r="H50" s="155"/>
      <c r="I50" s="149">
        <f t="shared" si="1"/>
        <v>9735.5764036448709</v>
      </c>
      <c r="J50" s="150">
        <f t="shared" si="0"/>
        <v>107242.95156117335</v>
      </c>
      <c r="K50" s="151">
        <f t="shared" si="2"/>
        <v>1.1424154990351813E+34</v>
      </c>
    </row>
    <row r="51" spans="1:11" ht="15.75" customHeight="1" x14ac:dyDescent="0.2">
      <c r="A51" s="146">
        <v>47</v>
      </c>
      <c r="B51" s="147">
        <v>5.3500000000000002E+36</v>
      </c>
      <c r="C51" s="146">
        <v>1.5640000000000001</v>
      </c>
      <c r="D51" s="146">
        <v>8270</v>
      </c>
      <c r="E51" s="146">
        <v>3.28779999999951</v>
      </c>
      <c r="F51" s="146">
        <v>1.0000000000000001E-5</v>
      </c>
      <c r="G51" s="148">
        <v>101940</v>
      </c>
      <c r="H51" s="155"/>
      <c r="I51" s="149">
        <f t="shared" si="1"/>
        <v>9753.248439630077</v>
      </c>
      <c r="J51" s="150">
        <f t="shared" si="0"/>
        <v>102504.2165689362</v>
      </c>
      <c r="K51" s="151">
        <f t="shared" si="2"/>
        <v>1.0951470663996597E+34</v>
      </c>
    </row>
    <row r="52" spans="1:11" ht="15.75" customHeight="1" x14ac:dyDescent="0.2">
      <c r="A52" s="146">
        <v>48</v>
      </c>
      <c r="B52" s="147">
        <v>5.4000000000000002E+36</v>
      </c>
      <c r="C52" s="146">
        <v>1.5760000000000001</v>
      </c>
      <c r="D52" s="146">
        <v>8290</v>
      </c>
      <c r="E52" s="146">
        <v>3.2988999999995099</v>
      </c>
      <c r="F52" s="146">
        <v>1.0000000000000001E-5</v>
      </c>
      <c r="G52" s="148">
        <v>101960</v>
      </c>
      <c r="H52" s="155"/>
      <c r="I52" s="149">
        <f t="shared" si="1"/>
        <v>9770.9389402982342</v>
      </c>
      <c r="J52" s="150">
        <f t="shared" si="0"/>
        <v>98002.341959530153</v>
      </c>
      <c r="K52" s="151">
        <f t="shared" si="2"/>
        <v>1.0496757724476621E+34</v>
      </c>
    </row>
    <row r="53" spans="1:11" ht="15.75" customHeight="1" x14ac:dyDescent="0.2">
      <c r="A53" s="146">
        <v>49</v>
      </c>
      <c r="B53" s="147">
        <v>5.4500000000000002E+36</v>
      </c>
      <c r="C53" s="146">
        <v>1.5880000000000001</v>
      </c>
      <c r="D53" s="146">
        <v>8310</v>
      </c>
      <c r="E53" s="146">
        <v>3.3099999999995</v>
      </c>
      <c r="F53" s="146">
        <v>1.0000000000000001E-5</v>
      </c>
      <c r="G53" s="148">
        <v>101980</v>
      </c>
      <c r="H53" s="155"/>
      <c r="I53" s="149">
        <f t="shared" si="1"/>
        <v>9788.6476868330028</v>
      </c>
      <c r="J53" s="150">
        <f t="shared" si="0"/>
        <v>93724.216464348166</v>
      </c>
      <c r="K53" s="151">
        <f t="shared" si="2"/>
        <v>1.0059421864778877E+34</v>
      </c>
    </row>
    <row r="54" spans="1:11" ht="15.75" customHeight="1" x14ac:dyDescent="0.2">
      <c r="A54" s="146">
        <v>50</v>
      </c>
      <c r="B54" s="147">
        <v>5.5000000000000002E+36</v>
      </c>
      <c r="C54" s="146">
        <v>1.6</v>
      </c>
      <c r="D54" s="146">
        <v>8330</v>
      </c>
      <c r="E54" s="146">
        <v>3.3210999999994901</v>
      </c>
      <c r="F54" s="146">
        <v>1.0000000000000001E-5</v>
      </c>
      <c r="G54" s="148">
        <v>102000</v>
      </c>
      <c r="H54" s="155"/>
      <c r="I54" s="149">
        <f t="shared" si="1"/>
        <v>9806.3744638618809</v>
      </c>
      <c r="J54" s="150">
        <f t="shared" si="0"/>
        <v>89657.520745898379</v>
      </c>
      <c r="K54" s="151">
        <f t="shared" si="2"/>
        <v>9.6388831977970659E+33</v>
      </c>
    </row>
    <row r="55" spans="1:11" ht="15.75" customHeight="1" x14ac:dyDescent="0.2">
      <c r="A55" s="146">
        <v>51</v>
      </c>
      <c r="B55" s="147">
        <v>5.5500000000000001E+36</v>
      </c>
      <c r="C55" s="146">
        <v>1.6120000000000001</v>
      </c>
      <c r="D55" s="146">
        <v>8350</v>
      </c>
      <c r="E55" s="146">
        <v>3.3321999999994798</v>
      </c>
      <c r="F55" s="146">
        <v>1.0000000000000001E-5</v>
      </c>
      <c r="G55" s="148">
        <v>102020</v>
      </c>
      <c r="H55" s="155"/>
      <c r="I55" s="149">
        <f t="shared" si="1"/>
        <v>9824.1190593887313</v>
      </c>
      <c r="J55" s="150">
        <f t="shared" si="0"/>
        <v>85790.675781244528</v>
      </c>
      <c r="K55" s="151">
        <f t="shared" si="2"/>
        <v>9.2345762501257432E+33</v>
      </c>
    </row>
    <row r="56" spans="1:11" ht="15.75" customHeight="1" x14ac:dyDescent="0.2">
      <c r="A56" s="146">
        <v>52</v>
      </c>
      <c r="B56" s="147">
        <v>5.6000000000000001E+36</v>
      </c>
      <c r="C56" s="146">
        <v>1.6240000000000001</v>
      </c>
      <c r="D56" s="146">
        <v>8370</v>
      </c>
      <c r="E56" s="146">
        <v>3.3432999999994699</v>
      </c>
      <c r="F56" s="146">
        <v>1.0000000000000001E-5</v>
      </c>
      <c r="G56" s="148">
        <v>102040</v>
      </c>
      <c r="H56" s="155"/>
      <c r="I56" s="149">
        <f t="shared" si="1"/>
        <v>9841.8812647278792</v>
      </c>
      <c r="J56" s="150">
        <f t="shared" si="0"/>
        <v>82112.794843979122</v>
      </c>
      <c r="K56" s="151">
        <f t="shared" si="2"/>
        <v>8.845949925609696E+33</v>
      </c>
    </row>
    <row r="57" spans="1:11" ht="15.75" customHeight="1" x14ac:dyDescent="0.2">
      <c r="A57" s="146">
        <v>53</v>
      </c>
      <c r="B57" s="147">
        <v>5.6500000000000001E+36</v>
      </c>
      <c r="C57" s="146">
        <v>1.6359999999999999</v>
      </c>
      <c r="D57" s="146">
        <v>8390</v>
      </c>
      <c r="E57" s="146">
        <v>3.35439999999946</v>
      </c>
      <c r="F57" s="146">
        <v>1.0000000000000001E-5</v>
      </c>
      <c r="G57" s="148">
        <v>102060</v>
      </c>
      <c r="H57" s="155"/>
      <c r="I57" s="149">
        <f t="shared" si="1"/>
        <v>9859.6608744397399</v>
      </c>
      <c r="J57" s="150">
        <f t="shared" si="0"/>
        <v>78613.638818345324</v>
      </c>
      <c r="K57" s="151">
        <f t="shared" si="2"/>
        <v>8.4724674413149864E+33</v>
      </c>
    </row>
    <row r="58" spans="1:11" ht="15.75" customHeight="1" x14ac:dyDescent="0.2">
      <c r="A58" s="146">
        <v>54</v>
      </c>
      <c r="B58" s="147">
        <v>5.7000000000000001E+36</v>
      </c>
      <c r="C58" s="146">
        <v>1.6479999999999999</v>
      </c>
      <c r="D58" s="146">
        <v>8410</v>
      </c>
      <c r="E58" s="146">
        <v>3.3654999999994502</v>
      </c>
      <c r="F58" s="146">
        <v>1.0000000000000001E-5</v>
      </c>
      <c r="G58" s="148">
        <v>102080</v>
      </c>
      <c r="H58" s="155"/>
      <c r="I58" s="149">
        <f t="shared" si="1"/>
        <v>9877.4576862679478</v>
      </c>
      <c r="J58" s="150">
        <f t="shared" si="0"/>
        <v>75283.574599900792</v>
      </c>
      <c r="K58" s="151">
        <f t="shared" si="2"/>
        <v>8.1136062384185974E+33</v>
      </c>
    </row>
    <row r="59" spans="1:11" ht="15.75" customHeight="1" x14ac:dyDescent="0.2">
      <c r="A59" s="146">
        <v>55</v>
      </c>
      <c r="B59" s="147">
        <v>5.7500000000000001E+36</v>
      </c>
      <c r="C59" s="146">
        <v>1.66</v>
      </c>
      <c r="D59" s="146">
        <v>8430</v>
      </c>
      <c r="E59" s="146">
        <v>3.3765999999994398</v>
      </c>
      <c r="F59" s="146">
        <v>1.0000000000000001E-5</v>
      </c>
      <c r="G59" s="148">
        <v>102100</v>
      </c>
      <c r="H59" s="155"/>
      <c r="I59" s="149">
        <f t="shared" si="1"/>
        <v>9895.2715010779466</v>
      </c>
      <c r="J59" s="150">
        <f t="shared" si="0"/>
        <v>72113.536356244091</v>
      </c>
      <c r="K59" s="151">
        <f t="shared" si="2"/>
        <v>7.768857870353954E+33</v>
      </c>
    </row>
    <row r="60" spans="1:11" ht="15.75" customHeight="1" x14ac:dyDescent="0.2">
      <c r="A60" s="146">
        <v>56</v>
      </c>
      <c r="B60" s="147">
        <v>5.8E+36</v>
      </c>
      <c r="C60" s="146">
        <v>1.6719999999999999</v>
      </c>
      <c r="D60" s="146">
        <v>8450</v>
      </c>
      <c r="E60" s="146">
        <v>3.3876999999994299</v>
      </c>
      <c r="F60" s="146">
        <v>1.0000000000000001E-5</v>
      </c>
      <c r="G60" s="148">
        <v>102120</v>
      </c>
      <c r="H60" s="155"/>
      <c r="I60" s="149">
        <f t="shared" si="1"/>
        <v>9913.1021227969777</v>
      </c>
      <c r="J60" s="150">
        <f t="shared" si="0"/>
        <v>69094.989438853212</v>
      </c>
      <c r="K60" s="151">
        <f t="shared" si="2"/>
        <v>7.4377278703993999E+33</v>
      </c>
    </row>
    <row r="61" spans="1:11" ht="15.75" customHeight="1" x14ac:dyDescent="0.2">
      <c r="A61" s="146">
        <v>57</v>
      </c>
      <c r="B61" s="147">
        <v>5.85E+36</v>
      </c>
      <c r="C61" s="146">
        <v>1.6839999999999999</v>
      </c>
      <c r="D61" s="146">
        <v>8470</v>
      </c>
      <c r="E61" s="146">
        <v>3.3987999999994201</v>
      </c>
      <c r="F61" s="146">
        <v>1.0000000000000001E-5</v>
      </c>
      <c r="G61" s="148">
        <v>102140</v>
      </c>
      <c r="H61" s="155"/>
      <c r="I61" s="149">
        <f t="shared" si="1"/>
        <v>9930.949358355474</v>
      </c>
      <c r="J61" s="150">
        <f t="shared" si="0"/>
        <v>66219.896753224704</v>
      </c>
      <c r="K61" s="151">
        <f t="shared" si="2"/>
        <v>7.1197356007535517E+33</v>
      </c>
    </row>
    <row r="62" spans="1:11" ht="15.75" customHeight="1" x14ac:dyDescent="0.2">
      <c r="A62" s="146">
        <v>58</v>
      </c>
      <c r="B62" s="147">
        <v>5.9E+36</v>
      </c>
      <c r="C62" s="146">
        <v>1.696</v>
      </c>
      <c r="D62" s="146">
        <v>8490</v>
      </c>
      <c r="E62" s="146">
        <v>3.4098999999994102</v>
      </c>
      <c r="F62" s="146">
        <v>1.0000000000000001E-5</v>
      </c>
      <c r="G62" s="148">
        <v>102160</v>
      </c>
      <c r="H62" s="155"/>
      <c r="I62" s="149">
        <f t="shared" si="1"/>
        <v>9948.8130176297673</v>
      </c>
      <c r="J62" s="150">
        <f t="shared" si="0"/>
        <v>63480.687409292812</v>
      </c>
      <c r="K62" s="151">
        <f t="shared" si="2"/>
        <v>6.8144140850070585E+33</v>
      </c>
    </row>
    <row r="63" spans="1:11" ht="15.75" customHeight="1" x14ac:dyDescent="0.2">
      <c r="A63" s="146">
        <v>59</v>
      </c>
      <c r="B63" s="147">
        <v>5.95E+36</v>
      </c>
      <c r="C63" s="146">
        <v>1.708</v>
      </c>
      <c r="D63" s="146">
        <v>8510</v>
      </c>
      <c r="E63" s="146">
        <v>3.4209999999993999</v>
      </c>
      <c r="F63" s="146">
        <v>1.0000000000000001E-5</v>
      </c>
      <c r="G63" s="148">
        <v>102180</v>
      </c>
      <c r="H63" s="155"/>
      <c r="I63" s="149">
        <f t="shared" si="1"/>
        <v>9966.6929133861249</v>
      </c>
      <c r="J63" s="150">
        <f t="shared" si="0"/>
        <v>60870.227487746677</v>
      </c>
      <c r="K63" s="151">
        <f t="shared" si="2"/>
        <v>6.5213098257922291E+33</v>
      </c>
    </row>
    <row r="64" spans="1:11" ht="15.75" customHeight="1" x14ac:dyDescent="0.2">
      <c r="A64" s="146">
        <v>60</v>
      </c>
      <c r="B64" s="147">
        <v>6E+36</v>
      </c>
      <c r="C64" s="146">
        <v>1.72</v>
      </c>
      <c r="D64" s="146">
        <v>8530</v>
      </c>
      <c r="E64" s="146">
        <v>3.43209999999939</v>
      </c>
      <c r="F64" s="146">
        <v>1.0000000000000001E-5</v>
      </c>
      <c r="G64" s="148">
        <v>102200</v>
      </c>
      <c r="H64" s="155"/>
      <c r="I64" s="149">
        <f t="shared" si="1"/>
        <v>9984.588861226046</v>
      </c>
      <c r="J64" s="150">
        <f t="shared" si="0"/>
        <v>58381.792770372806</v>
      </c>
      <c r="K64" s="151">
        <f t="shared" si="2"/>
        <v>6.2399826092724587E+33</v>
      </c>
    </row>
    <row r="65" spans="1:11" ht="15.75" customHeight="1" x14ac:dyDescent="0.2">
      <c r="A65" s="146">
        <v>61</v>
      </c>
      <c r="B65" s="147">
        <v>6.0499999999999999E+36</v>
      </c>
      <c r="C65" s="146">
        <v>1.732</v>
      </c>
      <c r="D65" s="146">
        <v>8550</v>
      </c>
      <c r="E65" s="146">
        <v>3.4431999999993801</v>
      </c>
      <c r="F65" s="146">
        <v>1.0000000000000001E-5</v>
      </c>
      <c r="G65" s="148">
        <v>102220</v>
      </c>
      <c r="H65" s="155"/>
      <c r="I65" s="149">
        <f t="shared" si="1"/>
        <v>10002.500679532788</v>
      </c>
      <c r="J65" s="150">
        <f t="shared" si="0"/>
        <v>56009.04329407675</v>
      </c>
      <c r="K65" s="151">
        <f t="shared" si="2"/>
        <v>5.9700052980185977E+33</v>
      </c>
    </row>
    <row r="66" spans="1:11" ht="15.75" customHeight="1" x14ac:dyDescent="0.2">
      <c r="A66" s="146">
        <v>62</v>
      </c>
      <c r="B66" s="147">
        <v>6.0999999999999999E+36</v>
      </c>
      <c r="C66" s="146">
        <v>1.744</v>
      </c>
      <c r="D66" s="146">
        <v>8570</v>
      </c>
      <c r="E66" s="146">
        <v>3.4542999999993702</v>
      </c>
      <c r="F66" s="146">
        <v>1.0000000000000001E-5</v>
      </c>
      <c r="G66" s="148">
        <v>102240</v>
      </c>
      <c r="H66" s="155"/>
      <c r="I66" s="149">
        <f t="shared" si="1"/>
        <v>10020.428189419123</v>
      </c>
      <c r="J66" s="150">
        <f t="shared" si="0"/>
        <v>53745.999598837712</v>
      </c>
      <c r="K66" s="151">
        <f t="shared" si="2"/>
        <v>5.7109636137130733E+33</v>
      </c>
    </row>
    <row r="67" spans="1:11" ht="15.75" customHeight="1" x14ac:dyDescent="0.2">
      <c r="A67" s="146">
        <v>63</v>
      </c>
      <c r="B67" s="147">
        <v>6.1499999999999999E+36</v>
      </c>
      <c r="C67" s="146">
        <v>1.756</v>
      </c>
      <c r="D67" s="146">
        <v>8590</v>
      </c>
      <c r="E67" s="146">
        <v>3.4653999999993599</v>
      </c>
      <c r="F67" s="146">
        <v>1.0000000000000001E-5</v>
      </c>
      <c r="G67" s="148">
        <v>102260</v>
      </c>
      <c r="H67" s="156"/>
      <c r="I67" s="149">
        <f t="shared" si="1"/>
        <v>10038.371214676243</v>
      </c>
      <c r="J67" s="150">
        <f t="shared" si="0"/>
        <v>51587.020549611552</v>
      </c>
      <c r="K67" s="151">
        <f t="shared" si="2"/>
        <v>5.4624559110203857E+33</v>
      </c>
    </row>
    <row r="68" spans="1:11" ht="15.75" customHeight="1" x14ac:dyDescent="0.2">
      <c r="A68" s="146">
        <v>64</v>
      </c>
      <c r="B68" s="147">
        <v>6.1999999999999999E+36</v>
      </c>
      <c r="C68" s="146">
        <v>1.768</v>
      </c>
      <c r="D68" s="146">
        <v>8610</v>
      </c>
      <c r="E68" s="146">
        <v>3.47649999999935</v>
      </c>
      <c r="F68" s="146">
        <v>1.0000000000000001E-5</v>
      </c>
      <c r="G68" s="148">
        <v>102280</v>
      </c>
      <c r="H68" s="154"/>
      <c r="I68" s="149">
        <f t="shared" si="1"/>
        <v>10056.329581723816</v>
      </c>
      <c r="J68" s="150">
        <f t="shared" ref="J68:J104" si="3">(K68*D68/G68)^(1/(2*E68))</f>
        <v>49526.782621181737</v>
      </c>
      <c r="K68" s="151">
        <f t="shared" si="2"/>
        <v>5.2240929438679205E+33</v>
      </c>
    </row>
    <row r="69" spans="1:11" ht="15.75" customHeight="1" x14ac:dyDescent="0.2">
      <c r="A69" s="146">
        <v>65</v>
      </c>
      <c r="B69" s="147">
        <v>6.2499999999999999E+36</v>
      </c>
      <c r="C69" s="146">
        <v>1.78</v>
      </c>
      <c r="D69" s="146">
        <v>8630</v>
      </c>
      <c r="E69" s="146">
        <v>3.4875999999993401</v>
      </c>
      <c r="F69" s="146">
        <v>1.0000000000000001E-5</v>
      </c>
      <c r="G69" s="148">
        <v>102300</v>
      </c>
      <c r="H69" s="154"/>
      <c r="I69" s="149">
        <f t="shared" ref="I69:I104" si="4">2*E69*D69/(2*E69-1)</f>
        <v>10074.303119561169</v>
      </c>
      <c r="J69" s="150">
        <f t="shared" si="3"/>
        <v>47560.260543242694</v>
      </c>
      <c r="K69" s="151">
        <f t="shared" ref="K69:K104" si="5">B69/((1+C69)^(2*E69))</f>
        <v>4.9954976252900448E+33</v>
      </c>
    </row>
    <row r="70" spans="1:11" ht="15.75" customHeight="1" x14ac:dyDescent="0.2">
      <c r="A70" s="146">
        <v>66</v>
      </c>
      <c r="B70" s="147">
        <v>6.2999999999999998E+36</v>
      </c>
      <c r="C70" s="146">
        <v>1.792</v>
      </c>
      <c r="D70" s="146">
        <v>8650</v>
      </c>
      <c r="E70" s="146">
        <v>3.4986999999993298</v>
      </c>
      <c r="F70" s="146">
        <v>1.0000000000000001E-5</v>
      </c>
      <c r="G70" s="148">
        <v>102320</v>
      </c>
      <c r="H70" s="154"/>
      <c r="I70" s="149">
        <f t="shared" si="4"/>
        <v>10092.291659719534</v>
      </c>
      <c r="J70" s="150">
        <f t="shared" si="3"/>
        <v>45682.70921062339</v>
      </c>
      <c r="K70" s="151">
        <f t="shared" si="5"/>
        <v>4.776304781904646E+33</v>
      </c>
    </row>
    <row r="71" spans="1:11" ht="15.75" customHeight="1" x14ac:dyDescent="0.2">
      <c r="A71" s="146">
        <v>67</v>
      </c>
      <c r="B71" s="147">
        <v>6.3499999999999998E+36</v>
      </c>
      <c r="C71" s="146">
        <v>1.804</v>
      </c>
      <c r="D71" s="146">
        <v>8670</v>
      </c>
      <c r="E71" s="146">
        <v>3.5097999999993199</v>
      </c>
      <c r="F71" s="146">
        <v>1.0000000000000001E-5</v>
      </c>
      <c r="G71" s="148">
        <v>102340</v>
      </c>
      <c r="H71" s="154"/>
      <c r="I71" s="149">
        <f t="shared" si="4"/>
        <v>10110.295036215357</v>
      </c>
      <c r="J71" s="150">
        <f t="shared" si="3"/>
        <v>43889.646770598345</v>
      </c>
      <c r="K71" s="151">
        <f t="shared" si="5"/>
        <v>4.5661609040101804E+33</v>
      </c>
    </row>
    <row r="72" spans="1:11" ht="15.75" customHeight="1" x14ac:dyDescent="0.2">
      <c r="A72" s="146">
        <v>68</v>
      </c>
      <c r="B72" s="147">
        <v>6.3999999999999998E+36</v>
      </c>
      <c r="C72" s="146">
        <v>1.8160000000000001</v>
      </c>
      <c r="D72" s="146">
        <v>8690</v>
      </c>
      <c r="E72" s="146">
        <v>3.52089999999931</v>
      </c>
      <c r="F72" s="146">
        <v>1.0000000000000001E-5</v>
      </c>
      <c r="G72" s="148">
        <v>102360</v>
      </c>
      <c r="H72" s="154"/>
      <c r="I72" s="149">
        <f t="shared" si="4"/>
        <v>10128.313085504647</v>
      </c>
      <c r="J72" s="150">
        <f t="shared" si="3"/>
        <v>42176.838805715975</v>
      </c>
      <c r="K72" s="151">
        <f t="shared" si="5"/>
        <v>4.3647238922173142E+33</v>
      </c>
    </row>
    <row r="73" spans="1:11" ht="15.75" customHeight="1" x14ac:dyDescent="0.2">
      <c r="A73" s="146">
        <v>69</v>
      </c>
      <c r="B73" s="147">
        <v>6.4499999999999998E+36</v>
      </c>
      <c r="C73" s="146">
        <v>1.8280000000000001</v>
      </c>
      <c r="D73" s="146">
        <v>8710</v>
      </c>
      <c r="E73" s="146">
        <v>3.5319999999993001</v>
      </c>
      <c r="F73" s="146">
        <v>1.0000000000000001E-5</v>
      </c>
      <c r="G73" s="148">
        <v>102380</v>
      </c>
      <c r="H73" s="154"/>
      <c r="I73" s="149">
        <f t="shared" si="4"/>
        <v>10146.345646438325</v>
      </c>
      <c r="J73" s="150">
        <f t="shared" si="3"/>
        <v>40540.283536556664</v>
      </c>
      <c r="K73" s="151">
        <f t="shared" si="5"/>
        <v>4.1716628014572773E+33</v>
      </c>
    </row>
    <row r="74" spans="1:11" ht="15.75" customHeight="1" x14ac:dyDescent="0.2">
      <c r="A74" s="146">
        <v>70</v>
      </c>
      <c r="B74" s="147">
        <v>6.4999999999999998E+36</v>
      </c>
      <c r="C74" s="146">
        <v>1.84</v>
      </c>
      <c r="D74" s="146">
        <v>8730</v>
      </c>
      <c r="E74" s="146">
        <v>3.5430999999992898</v>
      </c>
      <c r="F74" s="146">
        <v>1.0000000000000001E-5</v>
      </c>
      <c r="G74" s="148">
        <v>102400</v>
      </c>
      <c r="H74" s="154"/>
      <c r="I74" s="149">
        <f t="shared" si="4"/>
        <v>10164.392560218534</v>
      </c>
      <c r="J74" s="150">
        <f t="shared" si="3"/>
        <v>38976.197974357019</v>
      </c>
      <c r="K74" s="151">
        <f t="shared" si="5"/>
        <v>3.9866575831435656E+33</v>
      </c>
    </row>
    <row r="75" spans="1:11" ht="15.75" customHeight="1" x14ac:dyDescent="0.2">
      <c r="A75" s="146">
        <v>71</v>
      </c>
      <c r="B75" s="147">
        <v>6.5499999999999997E+36</v>
      </c>
      <c r="C75" s="146">
        <v>1.8520000000000001</v>
      </c>
      <c r="D75" s="146">
        <v>8750</v>
      </c>
      <c r="E75" s="146">
        <v>3.5541999999992799</v>
      </c>
      <c r="F75" s="146">
        <v>1.0000000000000001E-5</v>
      </c>
      <c r="G75" s="148">
        <v>102420</v>
      </c>
      <c r="H75" s="154"/>
      <c r="I75" s="149">
        <f t="shared" si="4"/>
        <v>10182.453670355913</v>
      </c>
      <c r="J75" s="150">
        <f t="shared" si="3"/>
        <v>37481.004958529586</v>
      </c>
      <c r="K75" s="151">
        <f t="shared" si="5"/>
        <v>3.8093988262002157E+33</v>
      </c>
    </row>
    <row r="76" spans="1:11" ht="15.75" customHeight="1" x14ac:dyDescent="0.2">
      <c r="A76" s="146">
        <v>72</v>
      </c>
      <c r="B76" s="147">
        <v>6.5999999999999997E+36</v>
      </c>
      <c r="C76" s="146">
        <v>1.8640000000000001</v>
      </c>
      <c r="D76" s="146">
        <v>8770</v>
      </c>
      <c r="E76" s="146">
        <v>3.5652999999992701</v>
      </c>
      <c r="F76" s="146">
        <v>1.0000000000000001E-5</v>
      </c>
      <c r="G76" s="148">
        <v>102440</v>
      </c>
      <c r="H76" s="154"/>
      <c r="I76" s="149">
        <f t="shared" si="4"/>
        <v>10200.528822627815</v>
      </c>
      <c r="J76" s="150">
        <f t="shared" si="3"/>
        <v>36051.321018816459</v>
      </c>
      <c r="K76" s="151">
        <f t="shared" si="5"/>
        <v>3.6395874976118981E+33</v>
      </c>
    </row>
    <row r="77" spans="1:11" ht="15.75" customHeight="1" x14ac:dyDescent="0.2">
      <c r="A77" s="146">
        <v>73</v>
      </c>
      <c r="B77" s="147">
        <v>6.6499999999999997E+36</v>
      </c>
      <c r="C77" s="146">
        <v>1.8759999999999999</v>
      </c>
      <c r="D77" s="146">
        <v>8790</v>
      </c>
      <c r="E77" s="146">
        <v>3.5763999999992602</v>
      </c>
      <c r="F77" s="146">
        <v>1.0000000000000001E-5</v>
      </c>
      <c r="G77" s="148">
        <v>102460</v>
      </c>
      <c r="H77" s="154"/>
      <c r="I77" s="149">
        <f t="shared" si="4"/>
        <v>10218.6178650374</v>
      </c>
      <c r="J77" s="150">
        <f t="shared" si="3"/>
        <v>34683.945006158101</v>
      </c>
      <c r="K77" s="151">
        <f t="shared" si="5"/>
        <v>3.4769346830952164E+33</v>
      </c>
    </row>
    <row r="78" spans="1:11" ht="15.75" customHeight="1" x14ac:dyDescent="0.2">
      <c r="A78" s="146">
        <v>74</v>
      </c>
      <c r="B78" s="147">
        <v>6.6999999999999997E+36</v>
      </c>
      <c r="C78" s="146">
        <v>1.8879999999999999</v>
      </c>
      <c r="D78" s="146">
        <v>8810</v>
      </c>
      <c r="E78" s="146">
        <v>3.5874999999992498</v>
      </c>
      <c r="F78" s="146">
        <v>1.0000000000000001E-5</v>
      </c>
      <c r="G78" s="148">
        <v>102480</v>
      </c>
      <c r="H78" s="154"/>
      <c r="I78" s="149">
        <f t="shared" si="4"/>
        <v>10236.720647773625</v>
      </c>
      <c r="J78" s="150">
        <f t="shared" si="3"/>
        <v>33375.847440380312</v>
      </c>
      <c r="K78" s="151">
        <f t="shared" si="5"/>
        <v>3.3211613284397037E+33</v>
      </c>
    </row>
    <row r="79" spans="1:11" ht="15.75" customHeight="1" x14ac:dyDescent="0.2">
      <c r="A79" s="146">
        <v>75</v>
      </c>
      <c r="B79" s="147">
        <v>6.7499999999999997E+36</v>
      </c>
      <c r="C79" s="146">
        <v>1.9</v>
      </c>
      <c r="D79" s="146">
        <v>8830</v>
      </c>
      <c r="E79" s="146">
        <v>3.59859999999924</v>
      </c>
      <c r="F79" s="146">
        <v>1.0000000000000001E-5</v>
      </c>
      <c r="G79" s="148">
        <v>102500</v>
      </c>
      <c r="H79" s="154"/>
      <c r="I79" s="149">
        <f t="shared" si="4"/>
        <v>10254.837023172106</v>
      </c>
      <c r="J79" s="150">
        <f t="shared" si="3"/>
        <v>32124.160526509375</v>
      </c>
      <c r="K79" s="151">
        <f t="shared" si="5"/>
        <v>3.1719979820176601E+33</v>
      </c>
    </row>
    <row r="80" spans="1:11" ht="15.75" customHeight="1" x14ac:dyDescent="0.2">
      <c r="A80" s="146">
        <v>76</v>
      </c>
      <c r="B80" s="147">
        <v>6.7999999999999996E+36</v>
      </c>
      <c r="C80" s="146">
        <v>1.9119999999999999</v>
      </c>
      <c r="D80" s="146">
        <v>8850</v>
      </c>
      <c r="E80" s="146">
        <v>3.6096999999992301</v>
      </c>
      <c r="F80" s="146">
        <v>1.0000000000000001E-5</v>
      </c>
      <c r="G80" s="148">
        <v>102520</v>
      </c>
      <c r="H80" s="154"/>
      <c r="I80" s="149">
        <f t="shared" si="4"/>
        <v>10272.966845676785</v>
      </c>
      <c r="J80" s="150">
        <f t="shared" si="3"/>
        <v>30926.168794962705</v>
      </c>
      <c r="K80" s="151">
        <f t="shared" si="5"/>
        <v>3.0291845389174186E+33</v>
      </c>
    </row>
    <row r="81" spans="1:11" ht="15.75" customHeight="1" x14ac:dyDescent="0.2">
      <c r="A81" s="146">
        <v>77</v>
      </c>
      <c r="B81" s="147">
        <v>6.8499999999999996E+36</v>
      </c>
      <c r="C81" s="146">
        <v>1.9239999999999999</v>
      </c>
      <c r="D81" s="146">
        <v>8870</v>
      </c>
      <c r="E81" s="146">
        <v>3.6207999999992202</v>
      </c>
      <c r="F81" s="146">
        <v>1.0000000000000001E-5</v>
      </c>
      <c r="G81" s="148">
        <v>102540</v>
      </c>
      <c r="H81" s="154"/>
      <c r="I81" s="149">
        <f t="shared" si="4"/>
        <v>10291.109971802458</v>
      </c>
      <c r="J81" s="150">
        <f t="shared" si="3"/>
        <v>29779.300324033622</v>
      </c>
      <c r="K81" s="151">
        <f t="shared" si="5"/>
        <v>2.8924699871114564E+33</v>
      </c>
    </row>
    <row r="82" spans="1:11" ht="15.75" customHeight="1" x14ac:dyDescent="0.2">
      <c r="A82" s="146">
        <v>78</v>
      </c>
      <c r="B82" s="147">
        <v>6.8999999999999996E+36</v>
      </c>
      <c r="C82" s="146">
        <v>1.9359999999999999</v>
      </c>
      <c r="D82" s="146">
        <v>8890</v>
      </c>
      <c r="E82" s="146">
        <v>3.6318999999992099</v>
      </c>
      <c r="F82" s="146">
        <v>1.0000000000000001E-5</v>
      </c>
      <c r="G82" s="148">
        <v>102560</v>
      </c>
      <c r="H82" s="154"/>
      <c r="I82" s="149">
        <f t="shared" si="4"/>
        <v>10309.266260098062</v>
      </c>
      <c r="J82" s="150">
        <f t="shared" si="3"/>
        <v>28681.118506028379</v>
      </c>
      <c r="K82" s="151">
        <f t="shared" si="5"/>
        <v>2.7616121560314151E+33</v>
      </c>
    </row>
    <row r="83" spans="1:11" ht="15.75" customHeight="1" x14ac:dyDescent="0.2">
      <c r="A83" s="146">
        <v>79</v>
      </c>
      <c r="B83" s="147">
        <v>6.9499999999999996E+36</v>
      </c>
      <c r="C83" s="146">
        <v>1.948</v>
      </c>
      <c r="D83" s="146">
        <v>8910</v>
      </c>
      <c r="E83" s="146">
        <v>3.6429999999992</v>
      </c>
      <c r="F83" s="146">
        <v>1.0000000000000001E-5</v>
      </c>
      <c r="G83" s="148">
        <v>102580</v>
      </c>
      <c r="H83" s="154"/>
      <c r="I83" s="149">
        <f t="shared" si="4"/>
        <v>10327.435571110764</v>
      </c>
      <c r="J83" s="150">
        <f t="shared" si="3"/>
        <v>27629.314321132064</v>
      </c>
      <c r="K83" s="151">
        <f t="shared" si="5"/>
        <v>2.6363774678847635E+33</v>
      </c>
    </row>
    <row r="84" spans="1:11" ht="15.75" customHeight="1" x14ac:dyDescent="0.2">
      <c r="A84" s="146">
        <v>80</v>
      </c>
      <c r="B84" s="147">
        <v>6.9999999999999996E+36</v>
      </c>
      <c r="C84" s="146">
        <v>1.96</v>
      </c>
      <c r="D84" s="146">
        <v>8930</v>
      </c>
      <c r="E84" s="146">
        <v>3.6540999999991901</v>
      </c>
      <c r="F84" s="146">
        <v>1.0000000000000001E-5</v>
      </c>
      <c r="G84" s="148">
        <v>102600</v>
      </c>
      <c r="H84" s="154"/>
      <c r="I84" s="149">
        <f t="shared" si="4"/>
        <v>10345.617767350797</v>
      </c>
      <c r="J84" s="150">
        <f t="shared" si="3"/>
        <v>26621.699085595148</v>
      </c>
      <c r="K84" s="151">
        <f t="shared" si="5"/>
        <v>2.5165406920132061E+33</v>
      </c>
    </row>
    <row r="85" spans="1:11" ht="15.75" customHeight="1" x14ac:dyDescent="0.2">
      <c r="A85" s="146">
        <v>81</v>
      </c>
      <c r="B85" s="147">
        <v>7.0499999999999995E+36</v>
      </c>
      <c r="C85" s="146">
        <v>1.972</v>
      </c>
      <c r="D85" s="146">
        <v>8950</v>
      </c>
      <c r="E85" s="146">
        <v>3.6651999999991798</v>
      </c>
      <c r="F85" s="146">
        <v>1.0000000000000001E-5</v>
      </c>
      <c r="G85" s="148">
        <v>102620</v>
      </c>
      <c r="H85" s="154"/>
      <c r="I85" s="149">
        <f t="shared" si="4"/>
        <v>10363.812713257033</v>
      </c>
      <c r="J85" s="150">
        <f t="shared" si="3"/>
        <v>25656.197643166321</v>
      </c>
      <c r="K85" s="151">
        <f t="shared" si="5"/>
        <v>2.4018847025605401E+33</v>
      </c>
    </row>
    <row r="86" spans="1:11" ht="15.75" customHeight="1" x14ac:dyDescent="0.2">
      <c r="A86" s="146">
        <v>82</v>
      </c>
      <c r="B86" s="147">
        <v>7.0999999999999995E+36</v>
      </c>
      <c r="C86" s="146">
        <v>1.984</v>
      </c>
      <c r="D86" s="146">
        <v>8970</v>
      </c>
      <c r="E86" s="146">
        <v>3.6762999999991699</v>
      </c>
      <c r="F86" s="146">
        <v>1.0000000000000001E-5</v>
      </c>
      <c r="G86" s="148">
        <v>102640</v>
      </c>
      <c r="H86" s="154"/>
      <c r="I86" s="149">
        <f t="shared" si="4"/>
        <v>10382.020275163295</v>
      </c>
      <c r="J86" s="150">
        <f t="shared" si="3"/>
        <v>24730.841970853424</v>
      </c>
      <c r="K86" s="151">
        <f t="shared" si="5"/>
        <v>2.2922002396874381E+33</v>
      </c>
    </row>
    <row r="87" spans="1:11" ht="15.75" customHeight="1" x14ac:dyDescent="0.2">
      <c r="A87" s="146">
        <v>83</v>
      </c>
      <c r="B87" s="147">
        <v>7.1499999999999995E+36</v>
      </c>
      <c r="C87" s="146">
        <v>1.996</v>
      </c>
      <c r="D87" s="146">
        <v>8990</v>
      </c>
      <c r="E87" s="146">
        <v>3.68739999999916</v>
      </c>
      <c r="F87" s="146">
        <v>1.0000000000000001E-5</v>
      </c>
      <c r="G87" s="148">
        <v>102660</v>
      </c>
      <c r="H87" s="154"/>
      <c r="I87" s="149">
        <f t="shared" si="4"/>
        <v>10400.240321265353</v>
      </c>
      <c r="J87" s="150">
        <f t="shared" si="3"/>
        <v>23843.76517209825</v>
      </c>
      <c r="K87" s="151">
        <f t="shared" si="5"/>
        <v>2.1872856745426399E+33</v>
      </c>
    </row>
    <row r="88" spans="1:11" ht="15.75" customHeight="1" x14ac:dyDescent="0.2">
      <c r="A88" s="146">
        <v>84</v>
      </c>
      <c r="B88" s="147">
        <v>7.1999999999999995E+36</v>
      </c>
      <c r="C88" s="146">
        <v>2.008</v>
      </c>
      <c r="D88" s="146">
        <v>9010</v>
      </c>
      <c r="E88" s="146">
        <v>3.6984999999991501</v>
      </c>
      <c r="F88" s="146">
        <v>1.0000000000000001E-5</v>
      </c>
      <c r="G88" s="148">
        <v>102680</v>
      </c>
      <c r="H88" s="154"/>
      <c r="I88" s="149">
        <f t="shared" si="4"/>
        <v>10418.47272158862</v>
      </c>
      <c r="J88" s="150">
        <f t="shared" si="3"/>
        <v>22993.195832303365</v>
      </c>
      <c r="K88" s="151">
        <f t="shared" si="5"/>
        <v>2.0869467781737346E+33</v>
      </c>
    </row>
    <row r="89" spans="1:11" ht="15.75" customHeight="1" x14ac:dyDescent="0.2">
      <c r="A89" s="146">
        <v>85</v>
      </c>
      <c r="B89" s="147">
        <v>7.2499999999999995E+36</v>
      </c>
      <c r="C89" s="146">
        <v>2.02</v>
      </c>
      <c r="D89" s="146">
        <v>9030</v>
      </c>
      <c r="E89" s="146">
        <v>3.7095999999991398</v>
      </c>
      <c r="F89" s="146">
        <v>1.0000000000000001E-5</v>
      </c>
      <c r="G89" s="148">
        <v>102700</v>
      </c>
      <c r="H89" s="154"/>
      <c r="I89" s="149">
        <f t="shared" si="4"/>
        <v>10436.717347956508</v>
      </c>
      <c r="J89" s="150">
        <f t="shared" si="3"/>
        <v>22177.452713371764</v>
      </c>
      <c r="K89" s="151">
        <f t="shared" si="5"/>
        <v>1.9909964945365442E+33</v>
      </c>
    </row>
    <row r="90" spans="1:11" ht="15.75" customHeight="1" x14ac:dyDescent="0.2">
      <c r="A90" s="146">
        <v>86</v>
      </c>
      <c r="B90" s="147">
        <v>7.2999999999999994E+36</v>
      </c>
      <c r="C90" s="146">
        <v>2.032</v>
      </c>
      <c r="D90" s="146">
        <v>9050</v>
      </c>
      <c r="E90" s="146">
        <v>3.7206999999991299</v>
      </c>
      <c r="F90" s="146">
        <v>1.0000000000000001E-5</v>
      </c>
      <c r="G90" s="148">
        <v>102720</v>
      </c>
      <c r="H90" s="154"/>
      <c r="I90" s="149">
        <f t="shared" si="4"/>
        <v>10454.974073959456</v>
      </c>
      <c r="J90" s="150">
        <f t="shared" si="3"/>
        <v>21394.939765512539</v>
      </c>
      <c r="K90" s="151">
        <f t="shared" si="5"/>
        <v>1.8992547177394293E+33</v>
      </c>
    </row>
    <row r="91" spans="1:11" ht="15.75" customHeight="1" x14ac:dyDescent="0.2">
      <c r="A91" s="146">
        <v>87</v>
      </c>
      <c r="B91" s="147">
        <v>7.3499999999999994E+36</v>
      </c>
      <c r="C91" s="146">
        <v>2.044</v>
      </c>
      <c r="D91" s="146">
        <v>9070</v>
      </c>
      <c r="E91" s="146">
        <v>3.73179999999912</v>
      </c>
      <c r="F91" s="146">
        <v>1.0000000000000001E-5</v>
      </c>
      <c r="G91" s="148">
        <v>102740</v>
      </c>
      <c r="H91" s="154"/>
      <c r="I91" s="149">
        <f t="shared" si="4"/>
        <v>10473.242774924573</v>
      </c>
      <c r="J91" s="150">
        <f t="shared" si="3"/>
        <v>20644.141436049813</v>
      </c>
      <c r="K91" s="151">
        <f t="shared" si="5"/>
        <v>1.8115480736380088E+33</v>
      </c>
    </row>
    <row r="92" spans="1:11" ht="15.75" customHeight="1" x14ac:dyDescent="0.2">
      <c r="A92" s="146">
        <v>88</v>
      </c>
      <c r="B92" s="147">
        <v>7.4000000000000006E+36</v>
      </c>
      <c r="C92" s="146">
        <v>2.056</v>
      </c>
      <c r="D92" s="146">
        <v>9090</v>
      </c>
      <c r="E92" s="146">
        <v>3.7428999999991102</v>
      </c>
      <c r="F92" s="146">
        <v>1.0000000000000001E-5</v>
      </c>
      <c r="G92" s="148">
        <v>102760</v>
      </c>
      <c r="H92" s="154"/>
      <c r="I92" s="149">
        <f t="shared" si="4"/>
        <v>10491.52332788592</v>
      </c>
      <c r="J92" s="150">
        <f t="shared" si="3"/>
        <v>19923.618256341884</v>
      </c>
      <c r="K92" s="151">
        <f t="shared" si="5"/>
        <v>1.7277097058763342E+33</v>
      </c>
    </row>
    <row r="93" spans="1:11" ht="15.75" customHeight="1" x14ac:dyDescent="0.2">
      <c r="A93" s="146">
        <v>89</v>
      </c>
      <c r="B93" s="147">
        <v>7.4500000000000006E+36</v>
      </c>
      <c r="C93" s="146">
        <v>2.0680000000000001</v>
      </c>
      <c r="D93" s="146">
        <v>9110</v>
      </c>
      <c r="E93" s="146">
        <v>3.7539999999990998</v>
      </c>
      <c r="F93" s="146">
        <v>1.0000000000000001E-5</v>
      </c>
      <c r="G93" s="148">
        <v>102780</v>
      </c>
      <c r="H93" s="154"/>
      <c r="I93" s="149">
        <f t="shared" si="4"/>
        <v>10509.815611555397</v>
      </c>
      <c r="J93" s="150">
        <f t="shared" si="3"/>
        <v>19232.002689197263</v>
      </c>
      <c r="K93" s="151">
        <f t="shared" si="5"/>
        <v>1.6475790664526942E+33</v>
      </c>
    </row>
    <row r="94" spans="1:11" ht="15.75" customHeight="1" x14ac:dyDescent="0.2">
      <c r="A94" s="146">
        <v>90</v>
      </c>
      <c r="B94" s="147">
        <v>7.5000000000000005E+36</v>
      </c>
      <c r="C94" s="146">
        <v>2.08</v>
      </c>
      <c r="D94" s="146">
        <v>9130</v>
      </c>
      <c r="E94" s="146">
        <v>3.76509999999909</v>
      </c>
      <c r="F94" s="146">
        <v>1.0000000000000001E-5</v>
      </c>
      <c r="G94" s="148">
        <v>102800</v>
      </c>
      <c r="H94" s="154"/>
      <c r="I94" s="149">
        <f t="shared" si="4"/>
        <v>10528.119506294224</v>
      </c>
      <c r="J94" s="150">
        <f t="shared" si="3"/>
        <v>18567.995220355246</v>
      </c>
      <c r="K94" s="151">
        <f t="shared" si="5"/>
        <v>1.5710017108715863E+33</v>
      </c>
    </row>
    <row r="95" spans="1:11" ht="15.75" customHeight="1" x14ac:dyDescent="0.2">
      <c r="A95" s="146">
        <v>91</v>
      </c>
      <c r="B95" s="147">
        <v>7.5500000000000005E+36</v>
      </c>
      <c r="C95" s="146">
        <v>2.0920000000000001</v>
      </c>
      <c r="D95" s="146">
        <v>9150</v>
      </c>
      <c r="E95" s="146">
        <v>3.7761999999990801</v>
      </c>
      <c r="F95" s="146">
        <v>1.0000000000000001E-5</v>
      </c>
      <c r="G95" s="148">
        <v>102820</v>
      </c>
      <c r="H95" s="154"/>
      <c r="I95" s="149">
        <f t="shared" si="4"/>
        <v>10546.434894085003</v>
      </c>
      <c r="J95" s="150">
        <f t="shared" si="3"/>
        <v>17930.36067870224</v>
      </c>
      <c r="K95" s="151">
        <f t="shared" si="5"/>
        <v>1.4978290979282141E+33</v>
      </c>
    </row>
    <row r="96" spans="1:11" ht="15.75" customHeight="1" x14ac:dyDescent="0.2">
      <c r="A96" s="146">
        <v>92</v>
      </c>
      <c r="B96" s="147">
        <v>7.6000000000000005E+36</v>
      </c>
      <c r="C96" s="146">
        <v>2.1040000000000001</v>
      </c>
      <c r="D96" s="146">
        <v>9170</v>
      </c>
      <c r="E96" s="146">
        <v>3.7872999999990702</v>
      </c>
      <c r="F96" s="146">
        <v>1.0000000000000001E-5</v>
      </c>
      <c r="G96" s="148">
        <v>102840</v>
      </c>
      <c r="H96" s="154"/>
      <c r="I96" s="149">
        <f t="shared" si="4"/>
        <v>10564.761658504332</v>
      </c>
      <c r="J96" s="150">
        <f t="shared" si="3"/>
        <v>17317.924770915324</v>
      </c>
      <c r="K96" s="151">
        <f t="shared" si="5"/>
        <v>1.4279183941577531E+33</v>
      </c>
    </row>
    <row r="97" spans="1:11" ht="15.75" customHeight="1" x14ac:dyDescent="0.2">
      <c r="A97" s="146">
        <v>93</v>
      </c>
      <c r="B97" s="147">
        <v>7.6500000000000005E+36</v>
      </c>
      <c r="C97" s="146">
        <v>2.1160000000000001</v>
      </c>
      <c r="D97" s="146">
        <v>9190</v>
      </c>
      <c r="E97" s="146">
        <v>3.7983999999990599</v>
      </c>
      <c r="F97" s="146">
        <v>1.0000000000000001E-5</v>
      </c>
      <c r="G97" s="148">
        <v>102860</v>
      </c>
      <c r="H97" s="154"/>
      <c r="I97" s="149">
        <f t="shared" si="4"/>
        <v>10583.099684696006</v>
      </c>
      <c r="J97" s="150">
        <f t="shared" si="3"/>
        <v>16729.570817176336</v>
      </c>
      <c r="K97" s="151">
        <f t="shared" si="5"/>
        <v>1.3611322829687584E+33</v>
      </c>
    </row>
    <row r="98" spans="1:11" ht="15.75" customHeight="1" x14ac:dyDescent="0.2">
      <c r="A98" s="146">
        <v>94</v>
      </c>
      <c r="B98" s="147">
        <v>7.7000000000000005E+36</v>
      </c>
      <c r="C98" s="146">
        <v>2.1280000000000001</v>
      </c>
      <c r="D98" s="146">
        <v>9210</v>
      </c>
      <c r="E98" s="146">
        <v>3.80949999999905</v>
      </c>
      <c r="F98" s="146">
        <v>1.0000000000000001E-5</v>
      </c>
      <c r="G98" s="148">
        <v>102880</v>
      </c>
      <c r="H98" s="154"/>
      <c r="I98" s="149">
        <f t="shared" si="4"/>
        <v>10601.448859344711</v>
      </c>
      <c r="J98" s="150">
        <f t="shared" si="3"/>
        <v>16164.236675483529</v>
      </c>
      <c r="K98" s="151">
        <f t="shared" si="5"/>
        <v>1.2973387784681475E+33</v>
      </c>
    </row>
    <row r="99" spans="1:11" ht="15.75" customHeight="1" x14ac:dyDescent="0.2">
      <c r="A99" s="146">
        <v>95</v>
      </c>
      <c r="B99" s="147">
        <v>7.7500000000000004E+36</v>
      </c>
      <c r="C99" s="146">
        <v>2.14</v>
      </c>
      <c r="D99" s="146">
        <v>9230</v>
      </c>
      <c r="E99" s="146">
        <v>3.8205999999990401</v>
      </c>
      <c r="F99" s="146">
        <v>1.0000000000000001E-5</v>
      </c>
      <c r="G99" s="148">
        <v>102900</v>
      </c>
      <c r="H99" s="154"/>
      <c r="I99" s="149">
        <f t="shared" si="4"/>
        <v>10619.809070650283</v>
      </c>
      <c r="J99" s="150">
        <f t="shared" si="3"/>
        <v>15620.911842909451</v>
      </c>
      <c r="K99" s="151">
        <f t="shared" si="5"/>
        <v>1.2364110439744991E+33</v>
      </c>
    </row>
    <row r="100" spans="1:11" ht="15.75" customHeight="1" x14ac:dyDescent="0.2">
      <c r="A100" s="146">
        <v>96</v>
      </c>
      <c r="B100" s="147">
        <v>7.8000000000000004E+36</v>
      </c>
      <c r="C100" s="146">
        <v>2.1520000000000001</v>
      </c>
      <c r="D100" s="146">
        <v>9250</v>
      </c>
      <c r="E100" s="146">
        <v>3.8316999999990302</v>
      </c>
      <c r="F100" s="146">
        <v>1.0000000000000001E-5</v>
      </c>
      <c r="G100" s="148">
        <v>102920</v>
      </c>
      <c r="H100" s="154"/>
      <c r="I100" s="149">
        <f t="shared" si="4"/>
        <v>10638.180208302472</v>
      </c>
      <c r="J100" s="150">
        <f t="shared" si="3"/>
        <v>15098.634722918832</v>
      </c>
      <c r="K100" s="151">
        <f t="shared" si="5"/>
        <v>1.1782272152063403E+33</v>
      </c>
    </row>
    <row r="101" spans="1:11" ht="15.75" customHeight="1" x14ac:dyDescent="0.2">
      <c r="A101" s="146">
        <v>97</v>
      </c>
      <c r="B101" s="147">
        <v>7.8500000000000004E+36</v>
      </c>
      <c r="C101" s="146">
        <v>2.1640000000000001</v>
      </c>
      <c r="D101" s="146">
        <v>9270</v>
      </c>
      <c r="E101" s="146">
        <v>3.8427999999990199</v>
      </c>
      <c r="F101" s="146">
        <v>1.0000000000000001E-5</v>
      </c>
      <c r="G101" s="148">
        <v>102940</v>
      </c>
      <c r="H101" s="154"/>
      <c r="I101" s="149">
        <f t="shared" si="4"/>
        <v>10656.562163456192</v>
      </c>
      <c r="J101" s="150">
        <f t="shared" si="3"/>
        <v>14596.490048571719</v>
      </c>
      <c r="K101" s="151">
        <f t="shared" si="5"/>
        <v>1.1226702281232085E+33</v>
      </c>
    </row>
    <row r="102" spans="1:11" ht="15.75" customHeight="1" x14ac:dyDescent="0.2">
      <c r="A102" s="146">
        <v>98</v>
      </c>
      <c r="B102" s="147">
        <v>7.9000000000000004E+36</v>
      </c>
      <c r="C102" s="146">
        <v>2.1760000000000002</v>
      </c>
      <c r="D102" s="146">
        <v>9290</v>
      </c>
      <c r="E102" s="146">
        <v>3.85389999999901</v>
      </c>
      <c r="F102" s="146">
        <v>1.0000000000000001E-5</v>
      </c>
      <c r="G102" s="148">
        <v>102960</v>
      </c>
      <c r="H102" s="154"/>
      <c r="I102" s="149">
        <f t="shared" si="4"/>
        <v>10674.954828707287</v>
      </c>
      <c r="J102" s="150">
        <f t="shared" si="3"/>
        <v>14113.606452100143</v>
      </c>
      <c r="K102" s="151">
        <f t="shared" si="5"/>
        <v>1.0696276513889559E+33</v>
      </c>
    </row>
    <row r="103" spans="1:11" ht="15.75" customHeight="1" x14ac:dyDescent="0.2">
      <c r="A103" s="146">
        <v>99</v>
      </c>
      <c r="B103" s="147">
        <v>7.9500000000000004E+36</v>
      </c>
      <c r="C103" s="146">
        <v>2.1880000000000002</v>
      </c>
      <c r="D103" s="146">
        <v>9310</v>
      </c>
      <c r="E103" s="146">
        <v>3.8649999999990001</v>
      </c>
      <c r="F103" s="146">
        <v>1.0000000000000001E-5</v>
      </c>
      <c r="G103" s="148">
        <v>102980</v>
      </c>
      <c r="H103" s="154"/>
      <c r="I103" s="149">
        <f t="shared" si="4"/>
        <v>10693.35809806876</v>
      </c>
      <c r="J103" s="150">
        <f t="shared" si="3"/>
        <v>13649.154171963011</v>
      </c>
      <c r="K103" s="151">
        <f t="shared" si="5"/>
        <v>1.0189915234194672E+33</v>
      </c>
    </row>
    <row r="104" spans="1:11" ht="15.75" customHeight="1" x14ac:dyDescent="0.2">
      <c r="A104" s="146">
        <v>100</v>
      </c>
      <c r="B104" s="147">
        <v>8.0000000000000003E+36</v>
      </c>
      <c r="C104" s="146">
        <v>2.2000000000000002</v>
      </c>
      <c r="D104" s="146">
        <v>9330</v>
      </c>
      <c r="E104" s="146">
        <v>3.8760999999989898</v>
      </c>
      <c r="F104" s="146">
        <v>1.0000000000000001E-5</v>
      </c>
      <c r="G104" s="148">
        <v>103000</v>
      </c>
      <c r="H104" s="154"/>
      <c r="I104" s="149">
        <f t="shared" si="4"/>
        <v>10711.771866947483</v>
      </c>
      <c r="J104" s="150">
        <f t="shared" si="3"/>
        <v>13202.342889058578</v>
      </c>
      <c r="K104" s="151">
        <f t="shared" si="5"/>
        <v>9.7065819397018245E+32</v>
      </c>
    </row>
    <row r="106" spans="1:11" x14ac:dyDescent="0.2">
      <c r="J106" s="157"/>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H35"/>
  <sheetViews>
    <sheetView workbookViewId="0">
      <selection activeCell="G43" sqref="G43"/>
    </sheetView>
  </sheetViews>
  <sheetFormatPr defaultRowHeight="12.75" x14ac:dyDescent="0.2"/>
  <cols>
    <col min="1" max="1" width="3.85546875" customWidth="1"/>
    <col min="2" max="2" width="12" bestFit="1" customWidth="1"/>
    <col min="4" max="4" width="11" bestFit="1" customWidth="1"/>
    <col min="5" max="5" width="10.85546875" customWidth="1"/>
    <col min="6" max="6" width="13.42578125" customWidth="1"/>
    <col min="7" max="7" width="18.140625" customWidth="1"/>
    <col min="8" max="8" width="6.42578125" customWidth="1"/>
  </cols>
  <sheetData>
    <row r="1" spans="1:8" x14ac:dyDescent="0.2">
      <c r="A1" s="37" t="s">
        <v>42</v>
      </c>
    </row>
    <row r="2" spans="1:8" x14ac:dyDescent="0.2">
      <c r="A2" s="37" t="s">
        <v>35</v>
      </c>
    </row>
    <row r="3" spans="1:8" ht="13.5" thickBot="1" x14ac:dyDescent="0.25"/>
    <row r="4" spans="1:8" ht="26.25" thickBot="1" x14ac:dyDescent="0.25">
      <c r="A4" s="38" t="s">
        <v>36</v>
      </c>
      <c r="B4" s="39" t="s">
        <v>37</v>
      </c>
      <c r="C4" s="39" t="s">
        <v>38</v>
      </c>
      <c r="D4" s="39" t="s">
        <v>39</v>
      </c>
      <c r="E4" s="39" t="s">
        <v>40</v>
      </c>
      <c r="F4" s="40" t="s">
        <v>43</v>
      </c>
      <c r="G4" s="40" t="s">
        <v>44</v>
      </c>
      <c r="H4" s="41" t="s">
        <v>25</v>
      </c>
    </row>
    <row r="5" spans="1:8" ht="13.5" thickBot="1" x14ac:dyDescent="0.25">
      <c r="A5" s="42">
        <v>0</v>
      </c>
      <c r="B5" s="43">
        <v>1</v>
      </c>
      <c r="C5" s="43">
        <f>(EXP(B5)-2-B5)^2</f>
        <v>7.9365128176378891E-2</v>
      </c>
      <c r="D5" s="44">
        <f>IF(A5=0,$G$5,
                    IF(C6&gt;=C5,
                             IF(ABS(D5)&lt;($F$5/$H$5),
                             D5,-D5/$H$5),
           D5))</f>
        <v>1</v>
      </c>
      <c r="E5" s="45">
        <f>$F$7-B5</f>
        <v>0.14619322062058271</v>
      </c>
      <c r="F5" s="46">
        <v>1E-3</v>
      </c>
      <c r="G5" s="47">
        <v>1</v>
      </c>
      <c r="H5" s="48">
        <v>4</v>
      </c>
    </row>
    <row r="6" spans="1:8" x14ac:dyDescent="0.2">
      <c r="A6" s="3">
        <v>1</v>
      </c>
      <c r="B6" s="1">
        <f>B5+D5</f>
        <v>2</v>
      </c>
      <c r="C6" s="1">
        <f t="shared" ref="C6:C35" si="0">(EXP(B6)-2-B6)^2</f>
        <v>11.485701241699038</v>
      </c>
      <c r="D6" s="49">
        <f>IF(A6=0,$G$5,
                    IF(C6&gt;=C5,
                             IF(ABS(D5)&lt;($F$5/$H$5),
                             0,-D5/$H$5),
           D5))</f>
        <v>-0.25</v>
      </c>
      <c r="E6" s="50">
        <f t="shared" ref="E6:E35" si="1">$F$7-B6</f>
        <v>-0.85380677937941729</v>
      </c>
      <c r="F6" s="51" t="s">
        <v>41</v>
      </c>
    </row>
    <row r="7" spans="1:8" ht="13.5" thickBot="1" x14ac:dyDescent="0.25">
      <c r="A7" s="3">
        <v>2</v>
      </c>
      <c r="B7" s="1">
        <f t="shared" ref="B7:B35" si="2">B6+D6</f>
        <v>1.75</v>
      </c>
      <c r="C7" s="1">
        <f t="shared" si="0"/>
        <v>4.0184318886493369</v>
      </c>
      <c r="D7" s="49">
        <f t="shared" ref="D7:D35" si="3">IF(A7=0,$G$5,
                    IF(C7&gt;=C6,
                             IF(ABS(D6)&lt;($F$5/$H$5),
                             0,-D6/$H$5),
           D6))</f>
        <v>-0.25</v>
      </c>
      <c r="E7" s="50">
        <f t="shared" si="1"/>
        <v>-0.60380677937941729</v>
      </c>
      <c r="F7" s="52">
        <v>1.1461932206205827</v>
      </c>
    </row>
    <row r="8" spans="1:8" x14ac:dyDescent="0.2">
      <c r="A8" s="3">
        <v>3</v>
      </c>
      <c r="B8" s="1">
        <f t="shared" si="2"/>
        <v>1.5</v>
      </c>
      <c r="C8" s="1">
        <f t="shared" si="0"/>
        <v>0.96371343082121341</v>
      </c>
      <c r="D8" s="49">
        <f t="shared" si="3"/>
        <v>-0.25</v>
      </c>
      <c r="E8" s="50">
        <f t="shared" si="1"/>
        <v>-0.35380677937941729</v>
      </c>
    </row>
    <row r="9" spans="1:8" x14ac:dyDescent="0.2">
      <c r="A9" s="3">
        <v>4</v>
      </c>
      <c r="B9" s="1">
        <f t="shared" si="2"/>
        <v>1.25</v>
      </c>
      <c r="C9" s="1">
        <f t="shared" si="0"/>
        <v>5.7764737201504518E-2</v>
      </c>
      <c r="D9" s="49">
        <f t="shared" si="3"/>
        <v>-0.25</v>
      </c>
      <c r="E9" s="50">
        <f t="shared" si="1"/>
        <v>-0.10380677937941729</v>
      </c>
    </row>
    <row r="10" spans="1:8" x14ac:dyDescent="0.2">
      <c r="A10" s="3">
        <v>5</v>
      </c>
      <c r="B10" s="1">
        <f t="shared" si="2"/>
        <v>1</v>
      </c>
      <c r="C10" s="1">
        <f t="shared" si="0"/>
        <v>7.9365128176378891E-2</v>
      </c>
      <c r="D10" s="49">
        <f t="shared" si="3"/>
        <v>6.25E-2</v>
      </c>
      <c r="E10" s="50">
        <f t="shared" si="1"/>
        <v>0.14619322062058271</v>
      </c>
    </row>
    <row r="11" spans="1:8" x14ac:dyDescent="0.2">
      <c r="A11" s="3">
        <v>6</v>
      </c>
      <c r="B11" s="1">
        <f t="shared" si="2"/>
        <v>1.0625</v>
      </c>
      <c r="C11" s="1">
        <f t="shared" si="0"/>
        <v>2.8528580075228831E-2</v>
      </c>
      <c r="D11" s="49">
        <f t="shared" si="3"/>
        <v>6.25E-2</v>
      </c>
      <c r="E11" s="50">
        <f t="shared" si="1"/>
        <v>8.3693220620582709E-2</v>
      </c>
    </row>
    <row r="12" spans="1:8" x14ac:dyDescent="0.2">
      <c r="A12" s="3">
        <v>7</v>
      </c>
      <c r="B12" s="1">
        <f t="shared" si="2"/>
        <v>1.125</v>
      </c>
      <c r="C12" s="1">
        <f t="shared" si="0"/>
        <v>2.0055306208304571E-3</v>
      </c>
      <c r="D12" s="49">
        <f t="shared" si="3"/>
        <v>6.25E-2</v>
      </c>
      <c r="E12" s="50">
        <f t="shared" si="1"/>
        <v>2.1193220620582709E-2</v>
      </c>
    </row>
    <row r="13" spans="1:8" x14ac:dyDescent="0.2">
      <c r="A13" s="3">
        <v>8</v>
      </c>
      <c r="B13" s="1">
        <f t="shared" si="2"/>
        <v>1.1875</v>
      </c>
      <c r="C13" s="1">
        <f t="shared" si="0"/>
        <v>8.3491654673105518E-3</v>
      </c>
      <c r="D13" s="49">
        <f t="shared" si="3"/>
        <v>-1.5625E-2</v>
      </c>
      <c r="E13" s="50">
        <f t="shared" si="1"/>
        <v>-4.1306779379417291E-2</v>
      </c>
    </row>
    <row r="14" spans="1:8" x14ac:dyDescent="0.2">
      <c r="A14" s="3">
        <v>9</v>
      </c>
      <c r="B14" s="1">
        <f t="shared" si="2"/>
        <v>1.171875</v>
      </c>
      <c r="C14" s="1">
        <f t="shared" si="0"/>
        <v>3.1544557697711748E-3</v>
      </c>
      <c r="D14" s="49">
        <f t="shared" si="3"/>
        <v>-1.5625E-2</v>
      </c>
      <c r="E14" s="50">
        <f t="shared" si="1"/>
        <v>-2.5681779379417291E-2</v>
      </c>
    </row>
    <row r="15" spans="1:8" x14ac:dyDescent="0.2">
      <c r="A15" s="3">
        <v>10</v>
      </c>
      <c r="B15" s="1">
        <f t="shared" si="2"/>
        <v>1.15625</v>
      </c>
      <c r="C15" s="1">
        <f t="shared" si="0"/>
        <v>4.7277664113671615E-4</v>
      </c>
      <c r="D15" s="49">
        <f t="shared" si="3"/>
        <v>-1.5625E-2</v>
      </c>
      <c r="E15" s="50">
        <f t="shared" si="1"/>
        <v>-1.0056779379417291E-2</v>
      </c>
    </row>
    <row r="16" spans="1:8" x14ac:dyDescent="0.2">
      <c r="A16" s="3">
        <v>11</v>
      </c>
      <c r="B16" s="1">
        <f t="shared" si="2"/>
        <v>1.140625</v>
      </c>
      <c r="C16" s="1">
        <f t="shared" si="0"/>
        <v>1.416526947390927E-4</v>
      </c>
      <c r="D16" s="49">
        <f t="shared" si="3"/>
        <v>-1.5625E-2</v>
      </c>
      <c r="E16" s="50">
        <f t="shared" si="1"/>
        <v>5.5682206205827089E-3</v>
      </c>
    </row>
    <row r="17" spans="1:5" x14ac:dyDescent="0.2">
      <c r="A17" s="3">
        <v>12</v>
      </c>
      <c r="B17" s="1">
        <f t="shared" si="2"/>
        <v>1.125</v>
      </c>
      <c r="C17" s="1">
        <f t="shared" si="0"/>
        <v>2.0055306208304571E-3</v>
      </c>
      <c r="D17" s="49">
        <f t="shared" si="3"/>
        <v>3.90625E-3</v>
      </c>
      <c r="E17" s="50">
        <f t="shared" si="1"/>
        <v>2.1193220620582709E-2</v>
      </c>
    </row>
    <row r="18" spans="1:5" x14ac:dyDescent="0.2">
      <c r="A18" s="3">
        <v>13</v>
      </c>
      <c r="B18" s="1">
        <f t="shared" si="2"/>
        <v>1.12890625</v>
      </c>
      <c r="C18" s="1">
        <f t="shared" si="0"/>
        <v>1.342033338663154E-3</v>
      </c>
      <c r="D18" s="49">
        <f t="shared" si="3"/>
        <v>3.90625E-3</v>
      </c>
      <c r="E18" s="50">
        <f t="shared" si="1"/>
        <v>1.7286970620582709E-2</v>
      </c>
    </row>
    <row r="19" spans="1:5" x14ac:dyDescent="0.2">
      <c r="A19" s="3">
        <v>14</v>
      </c>
      <c r="B19" s="1">
        <f t="shared" si="2"/>
        <v>1.1328125</v>
      </c>
      <c r="C19" s="1">
        <f t="shared" si="0"/>
        <v>8.0867496484974047E-4</v>
      </c>
      <c r="D19" s="49">
        <f t="shared" si="3"/>
        <v>3.90625E-3</v>
      </c>
      <c r="E19" s="50">
        <f t="shared" si="1"/>
        <v>1.3380720620582709E-2</v>
      </c>
    </row>
    <row r="20" spans="1:5" x14ac:dyDescent="0.2">
      <c r="A20" s="3">
        <v>15</v>
      </c>
      <c r="B20" s="1">
        <f t="shared" si="2"/>
        <v>1.13671875</v>
      </c>
      <c r="C20" s="1">
        <f t="shared" si="0"/>
        <v>4.0776853990533054E-4</v>
      </c>
      <c r="D20" s="49">
        <f t="shared" si="3"/>
        <v>3.90625E-3</v>
      </c>
      <c r="E20" s="50">
        <f t="shared" si="1"/>
        <v>9.4744706205827089E-3</v>
      </c>
    </row>
    <row r="21" spans="1:5" x14ac:dyDescent="0.2">
      <c r="A21" s="3">
        <v>16</v>
      </c>
      <c r="B21" s="1">
        <f t="shared" si="2"/>
        <v>1.140625</v>
      </c>
      <c r="C21" s="1">
        <f t="shared" si="0"/>
        <v>1.416526947390927E-4</v>
      </c>
      <c r="D21" s="49">
        <f t="shared" si="3"/>
        <v>3.90625E-3</v>
      </c>
      <c r="E21" s="50">
        <f t="shared" si="1"/>
        <v>5.5682206205827089E-3</v>
      </c>
    </row>
    <row r="22" spans="1:5" x14ac:dyDescent="0.2">
      <c r="A22" s="3">
        <v>17</v>
      </c>
      <c r="B22" s="1">
        <f t="shared" si="2"/>
        <v>1.14453125</v>
      </c>
      <c r="C22" s="1">
        <f t="shared" si="0"/>
        <v>1.2691886207864499E-5</v>
      </c>
      <c r="D22" s="49">
        <f t="shared" si="3"/>
        <v>3.90625E-3</v>
      </c>
      <c r="E22" s="50">
        <f t="shared" si="1"/>
        <v>1.6619706205827089E-3</v>
      </c>
    </row>
    <row r="23" spans="1:5" x14ac:dyDescent="0.2">
      <c r="A23" s="3">
        <v>18</v>
      </c>
      <c r="B23" s="1">
        <f t="shared" si="2"/>
        <v>1.1484375</v>
      </c>
      <c r="C23" s="1">
        <f t="shared" si="0"/>
        <v>2.3276634675889716E-5</v>
      </c>
      <c r="D23" s="49">
        <f t="shared" si="3"/>
        <v>-9.765625E-4</v>
      </c>
      <c r="E23" s="50">
        <f t="shared" si="1"/>
        <v>-2.2442793794172911E-3</v>
      </c>
    </row>
    <row r="24" spans="1:5" x14ac:dyDescent="0.2">
      <c r="A24" s="3">
        <v>19</v>
      </c>
      <c r="B24" s="1">
        <f t="shared" si="2"/>
        <v>1.1474609375</v>
      </c>
      <c r="C24" s="1">
        <f t="shared" si="0"/>
        <v>7.41633333714006E-6</v>
      </c>
      <c r="D24" s="49">
        <f t="shared" si="3"/>
        <v>-9.765625E-4</v>
      </c>
      <c r="E24" s="50">
        <f t="shared" si="1"/>
        <v>-1.2677168794172911E-3</v>
      </c>
    </row>
    <row r="25" spans="1:5" x14ac:dyDescent="0.2">
      <c r="A25" s="3">
        <v>20</v>
      </c>
      <c r="B25" s="1">
        <f t="shared" si="2"/>
        <v>1.146484375</v>
      </c>
      <c r="C25" s="1">
        <f t="shared" si="0"/>
        <v>3.9063365126692995E-7</v>
      </c>
      <c r="D25" s="49">
        <f t="shared" si="3"/>
        <v>-9.765625E-4</v>
      </c>
      <c r="E25" s="50">
        <f t="shared" si="1"/>
        <v>-2.9115437941729105E-4</v>
      </c>
    </row>
    <row r="26" spans="1:5" x14ac:dyDescent="0.2">
      <c r="A26" s="3">
        <v>21</v>
      </c>
      <c r="B26" s="1">
        <f t="shared" si="2"/>
        <v>1.1455078125</v>
      </c>
      <c r="C26" s="1">
        <f t="shared" si="0"/>
        <v>2.1617215566706576E-6</v>
      </c>
      <c r="D26" s="49">
        <f t="shared" si="3"/>
        <v>2.44140625E-4</v>
      </c>
      <c r="E26" s="50">
        <f t="shared" si="1"/>
        <v>6.8540812058270895E-4</v>
      </c>
    </row>
    <row r="27" spans="1:5" x14ac:dyDescent="0.2">
      <c r="A27" s="3">
        <v>22</v>
      </c>
      <c r="B27" s="1">
        <f t="shared" si="2"/>
        <v>1.145751953125</v>
      </c>
      <c r="C27" s="1">
        <f t="shared" si="0"/>
        <v>8.9631481723075302E-7</v>
      </c>
      <c r="D27" s="49">
        <f t="shared" si="3"/>
        <v>2.44140625E-4</v>
      </c>
      <c r="E27" s="50">
        <f t="shared" si="1"/>
        <v>4.4126749558270895E-4</v>
      </c>
    </row>
    <row r="28" spans="1:5" x14ac:dyDescent="0.2">
      <c r="A28" s="3">
        <v>23</v>
      </c>
      <c r="B28" s="1">
        <f t="shared" si="2"/>
        <v>1.14599609375</v>
      </c>
      <c r="C28" s="1">
        <f t="shared" si="0"/>
        <v>1.7893849926535451E-7</v>
      </c>
      <c r="D28" s="49">
        <f t="shared" si="3"/>
        <v>2.44140625E-4</v>
      </c>
      <c r="E28" s="50">
        <f t="shared" si="1"/>
        <v>1.9712687058270895E-4</v>
      </c>
    </row>
    <row r="29" spans="1:5" x14ac:dyDescent="0.2">
      <c r="A29" s="3">
        <v>24</v>
      </c>
      <c r="B29" s="1">
        <f t="shared" si="2"/>
        <v>1.146240234375</v>
      </c>
      <c r="C29" s="1">
        <f t="shared" si="0"/>
        <v>1.0181632970250794E-8</v>
      </c>
      <c r="D29" s="49">
        <f t="shared" si="3"/>
        <v>2.44140625E-4</v>
      </c>
      <c r="E29" s="50">
        <f t="shared" si="1"/>
        <v>-4.7013754417291054E-5</v>
      </c>
    </row>
    <row r="30" spans="1:5" x14ac:dyDescent="0.2">
      <c r="A30" s="3">
        <v>25</v>
      </c>
      <c r="B30" s="1">
        <f t="shared" si="2"/>
        <v>1.146484375</v>
      </c>
      <c r="C30" s="1">
        <f t="shared" si="0"/>
        <v>3.9063365126692995E-7</v>
      </c>
      <c r="D30" s="49">
        <f t="shared" si="3"/>
        <v>0</v>
      </c>
      <c r="E30" s="50">
        <f t="shared" si="1"/>
        <v>-2.9115437941729105E-4</v>
      </c>
    </row>
    <row r="31" spans="1:5" x14ac:dyDescent="0.2">
      <c r="A31" s="3">
        <v>26</v>
      </c>
      <c r="B31" s="1">
        <f t="shared" si="2"/>
        <v>1.146484375</v>
      </c>
      <c r="C31" s="1">
        <f t="shared" si="0"/>
        <v>3.9063365126692995E-7</v>
      </c>
      <c r="D31" s="49">
        <f t="shared" si="3"/>
        <v>0</v>
      </c>
      <c r="E31" s="50">
        <f t="shared" si="1"/>
        <v>-2.9115437941729105E-4</v>
      </c>
    </row>
    <row r="32" spans="1:5" x14ac:dyDescent="0.2">
      <c r="A32" s="3">
        <v>27</v>
      </c>
      <c r="B32" s="1">
        <f t="shared" si="2"/>
        <v>1.146484375</v>
      </c>
      <c r="C32" s="1">
        <f t="shared" si="0"/>
        <v>3.9063365126692995E-7</v>
      </c>
      <c r="D32" s="49">
        <f t="shared" si="3"/>
        <v>0</v>
      </c>
      <c r="E32" s="50">
        <f t="shared" si="1"/>
        <v>-2.9115437941729105E-4</v>
      </c>
    </row>
    <row r="33" spans="1:5" x14ac:dyDescent="0.2">
      <c r="A33" s="3">
        <v>28</v>
      </c>
      <c r="B33" s="1">
        <f t="shared" si="2"/>
        <v>1.146484375</v>
      </c>
      <c r="C33" s="1">
        <f t="shared" si="0"/>
        <v>3.9063365126692995E-7</v>
      </c>
      <c r="D33" s="49">
        <f t="shared" si="3"/>
        <v>0</v>
      </c>
      <c r="E33" s="50">
        <f t="shared" si="1"/>
        <v>-2.9115437941729105E-4</v>
      </c>
    </row>
    <row r="34" spans="1:5" x14ac:dyDescent="0.2">
      <c r="A34" s="3">
        <v>29</v>
      </c>
      <c r="B34" s="1">
        <f t="shared" si="2"/>
        <v>1.146484375</v>
      </c>
      <c r="C34" s="1">
        <f t="shared" si="0"/>
        <v>3.9063365126692995E-7</v>
      </c>
      <c r="D34" s="49">
        <f t="shared" si="3"/>
        <v>0</v>
      </c>
      <c r="E34" s="50">
        <f t="shared" si="1"/>
        <v>-2.9115437941729105E-4</v>
      </c>
    </row>
    <row r="35" spans="1:5" ht="13.5" thickBot="1" x14ac:dyDescent="0.25">
      <c r="A35" s="4">
        <v>30</v>
      </c>
      <c r="B35" s="5">
        <f t="shared" si="2"/>
        <v>1.146484375</v>
      </c>
      <c r="C35" s="5">
        <f t="shared" si="0"/>
        <v>3.9063365126692995E-7</v>
      </c>
      <c r="D35" s="53">
        <f t="shared" si="3"/>
        <v>0</v>
      </c>
      <c r="E35" s="54">
        <f t="shared" si="1"/>
        <v>-2.9115437941729105E-4</v>
      </c>
    </row>
  </sheetData>
  <phoneticPr fontId="2" type="noConversion"/>
  <conditionalFormatting sqref="D5:D35">
    <cfRule type="expression" dxfId="6" priority="1" stopIfTrue="1">
      <formula>$A$7=0</formula>
    </cfRule>
  </conditionalFormatting>
  <pageMargins left="0.75" right="0.75" top="1" bottom="1" header="0.5" footer="0.5"/>
  <pageSetup paperSize="9" orientation="portrait" horizontalDpi="200" verticalDpi="2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W57"/>
  <sheetViews>
    <sheetView tabSelected="1" zoomScale="55" zoomScaleNormal="55" workbookViewId="0">
      <selection activeCell="R48" sqref="R48"/>
    </sheetView>
  </sheetViews>
  <sheetFormatPr defaultRowHeight="12.75" x14ac:dyDescent="0.2"/>
  <cols>
    <col min="1" max="1" width="4.85546875" customWidth="1"/>
    <col min="2" max="2" width="8" bestFit="1" customWidth="1"/>
    <col min="3" max="3" width="10.140625" customWidth="1"/>
    <col min="4" max="4" width="14.5703125" customWidth="1"/>
    <col min="5" max="5" width="13.5703125" customWidth="1"/>
    <col min="6" max="6" width="16.85546875" customWidth="1"/>
    <col min="7" max="7" width="10.7109375" customWidth="1"/>
    <col min="8" max="8" width="12.140625" customWidth="1"/>
    <col min="9" max="9" width="15" customWidth="1"/>
    <col min="14" max="14" width="7.7109375" customWidth="1"/>
    <col min="15" max="15" width="6.28515625" customWidth="1"/>
    <col min="16" max="16" width="7" customWidth="1"/>
    <col min="17" max="17" width="5" customWidth="1"/>
  </cols>
  <sheetData>
    <row r="1" spans="1:23" ht="17.25" customHeight="1" x14ac:dyDescent="0.3">
      <c r="A1" s="189" t="s">
        <v>76</v>
      </c>
      <c r="B1" s="190"/>
      <c r="C1" s="190"/>
      <c r="D1" s="191"/>
      <c r="E1" s="189" t="s">
        <v>78</v>
      </c>
      <c r="F1" s="190"/>
      <c r="G1" s="190"/>
      <c r="H1" s="190"/>
      <c r="I1" s="190"/>
      <c r="J1" s="191"/>
      <c r="K1" s="122"/>
      <c r="L1" s="122"/>
      <c r="M1" s="122"/>
      <c r="N1" s="104"/>
      <c r="O1" s="104"/>
      <c r="Q1" s="172" t="s">
        <v>77</v>
      </c>
      <c r="R1" s="173"/>
      <c r="S1" s="173"/>
      <c r="T1" s="173"/>
      <c r="U1" s="173"/>
      <c r="V1" s="173"/>
      <c r="W1" s="174"/>
    </row>
    <row r="2" spans="1:23" ht="16.5" customHeight="1" x14ac:dyDescent="0.3">
      <c r="A2" s="192"/>
      <c r="B2" s="193"/>
      <c r="C2" s="193"/>
      <c r="D2" s="194"/>
      <c r="E2" s="192"/>
      <c r="F2" s="193"/>
      <c r="G2" s="193"/>
      <c r="H2" s="193"/>
      <c r="I2" s="193"/>
      <c r="J2" s="194"/>
      <c r="K2" s="122"/>
      <c r="L2" s="122"/>
      <c r="M2" s="122"/>
      <c r="N2" s="104"/>
      <c r="O2" s="104"/>
      <c r="Q2" s="175"/>
      <c r="R2" s="176"/>
      <c r="S2" s="176"/>
      <c r="T2" s="176"/>
      <c r="U2" s="176"/>
      <c r="V2" s="176"/>
      <c r="W2" s="177"/>
    </row>
    <row r="3" spans="1:23" ht="13.5" customHeight="1" thickBot="1" x14ac:dyDescent="0.35">
      <c r="A3" s="195"/>
      <c r="B3" s="196"/>
      <c r="C3" s="196"/>
      <c r="D3" s="197"/>
      <c r="E3" s="195"/>
      <c r="F3" s="196"/>
      <c r="G3" s="196"/>
      <c r="H3" s="196"/>
      <c r="I3" s="196"/>
      <c r="J3" s="197"/>
      <c r="K3" s="122"/>
      <c r="L3" s="122"/>
      <c r="M3" s="122"/>
      <c r="N3" s="104"/>
      <c r="O3" s="104"/>
      <c r="Q3" s="175"/>
      <c r="R3" s="176"/>
      <c r="S3" s="176"/>
      <c r="T3" s="176"/>
      <c r="U3" s="178"/>
      <c r="V3" s="178"/>
      <c r="W3" s="179"/>
    </row>
    <row r="4" spans="1:23" ht="76.5" customHeight="1" thickBot="1" x14ac:dyDescent="0.3">
      <c r="A4" s="96" t="s">
        <v>1</v>
      </c>
      <c r="B4" s="97" t="s">
        <v>52</v>
      </c>
      <c r="C4" s="97" t="s">
        <v>53</v>
      </c>
      <c r="D4" s="125" t="s">
        <v>54</v>
      </c>
      <c r="E4" s="128" t="s">
        <v>55</v>
      </c>
      <c r="F4" s="98" t="s">
        <v>41</v>
      </c>
      <c r="G4" s="99" t="s">
        <v>75</v>
      </c>
      <c r="H4" s="129" t="s">
        <v>56</v>
      </c>
      <c r="I4" s="99" t="s">
        <v>75</v>
      </c>
      <c r="J4" s="123" t="s">
        <v>57</v>
      </c>
      <c r="Q4" s="86" t="s">
        <v>1</v>
      </c>
      <c r="R4" s="87" t="s">
        <v>65</v>
      </c>
      <c r="S4" s="87" t="s">
        <v>25</v>
      </c>
      <c r="T4" s="88" t="s">
        <v>58</v>
      </c>
    </row>
    <row r="5" spans="1:23" ht="13.5" thickBot="1" x14ac:dyDescent="0.25">
      <c r="A5" s="42">
        <v>1</v>
      </c>
      <c r="B5" s="43">
        <f ca="1">IF(A5=sheet4!$A$7,sheet4!$B$7,B5)</f>
        <v>351.00000000003047</v>
      </c>
      <c r="C5" s="43">
        <f ca="1">ABS($F$5-B5)</f>
        <v>8629.3657737184785</v>
      </c>
      <c r="D5" s="126"/>
      <c r="E5" s="130">
        <f>INDEX(H5:H25,E6)</f>
        <v>2</v>
      </c>
      <c r="F5" s="84">
        <f>sheet1!I6</f>
        <v>8980.3657737185094</v>
      </c>
      <c r="G5" s="85">
        <f ca="1">ABS((D44-D43)/D44)</f>
        <v>0.13229968003564813</v>
      </c>
      <c r="H5" s="100">
        <v>1</v>
      </c>
      <c r="I5" s="101">
        <f ca="1">IF(H5=$E$5,$G$5,I5)</f>
        <v>0.91498150834889092</v>
      </c>
      <c r="J5" s="52">
        <f ca="1">MIN(I5:I25)</f>
        <v>0.13229968003564813</v>
      </c>
      <c r="Q5" s="42">
        <v>1</v>
      </c>
      <c r="R5" s="43">
        <v>200</v>
      </c>
      <c r="S5" s="43">
        <v>10</v>
      </c>
      <c r="T5" s="81">
        <v>1.2</v>
      </c>
    </row>
    <row r="6" spans="1:23" x14ac:dyDescent="0.2">
      <c r="A6" s="3">
        <v>2</v>
      </c>
      <c r="B6" s="1">
        <f ca="1">IF(A6=sheet4!$A$7,sheet4!$B$7,B6)</f>
        <v>701.00000000003047</v>
      </c>
      <c r="C6" s="1">
        <f t="shared" ref="C6:C44" ca="1" si="0">ABS($F$5-B6)</f>
        <v>8279.3657737184785</v>
      </c>
      <c r="D6" s="127">
        <f ca="1">C6/C5^$E$5</f>
        <v>1.1118323699842942E-4</v>
      </c>
      <c r="E6" s="131">
        <v>21</v>
      </c>
      <c r="F6" s="124"/>
      <c r="G6" s="124"/>
      <c r="H6" s="102">
        <v>1.05</v>
      </c>
      <c r="I6" s="103">
        <f t="shared" ref="I6:I25" ca="1" si="1">IF(H6=$E$5,$G$5,I6)</f>
        <v>0.86532462953213019</v>
      </c>
      <c r="Q6" s="3">
        <v>2</v>
      </c>
      <c r="R6" s="1">
        <v>250</v>
      </c>
      <c r="S6" s="1">
        <v>10</v>
      </c>
      <c r="T6" s="82">
        <v>1.1000000000000001</v>
      </c>
    </row>
    <row r="7" spans="1:23" x14ac:dyDescent="0.2">
      <c r="A7" s="3">
        <v>3</v>
      </c>
      <c r="B7" s="1">
        <f ca="1">IF(A7=sheet4!$A$7,sheet4!$B$7,B7)</f>
        <v>1051.0000000000305</v>
      </c>
      <c r="C7" s="1">
        <f t="shared" ca="1" si="0"/>
        <v>7929.3657737184785</v>
      </c>
      <c r="D7" s="127">
        <f t="shared" ref="D7:D44" ca="1" si="2">C7/C6^$E$5</f>
        <v>1.1567627964684519E-4</v>
      </c>
      <c r="E7" s="131"/>
      <c r="F7" s="124"/>
      <c r="G7" s="124"/>
      <c r="H7" s="102">
        <v>1.1000000000000001</v>
      </c>
      <c r="I7" s="103">
        <f t="shared" ca="1" si="1"/>
        <v>0.81695539010148166</v>
      </c>
      <c r="Q7" s="3">
        <v>3</v>
      </c>
      <c r="R7" s="1">
        <v>300</v>
      </c>
      <c r="S7" s="1">
        <v>10</v>
      </c>
      <c r="T7" s="82">
        <v>1.45</v>
      </c>
    </row>
    <row r="8" spans="1:23" x14ac:dyDescent="0.2">
      <c r="A8" s="3">
        <v>4</v>
      </c>
      <c r="B8" s="1">
        <f ca="1">IF(A8=sheet4!$A$7,sheet4!$B$7,B8)</f>
        <v>1401.0000000000305</v>
      </c>
      <c r="C8" s="1">
        <f t="shared" ca="1" si="0"/>
        <v>7579.3657737184785</v>
      </c>
      <c r="D8" s="127">
        <f t="shared" ca="1" si="2"/>
        <v>1.205468766846619E-4</v>
      </c>
      <c r="E8" s="131"/>
      <c r="F8" s="124"/>
      <c r="G8" s="124"/>
      <c r="H8" s="102">
        <v>1.1499999999999999</v>
      </c>
      <c r="I8" s="103">
        <f t="shared" ca="1" si="1"/>
        <v>0.76984040062071102</v>
      </c>
      <c r="Q8" s="3">
        <v>4</v>
      </c>
      <c r="R8" s="1">
        <v>340</v>
      </c>
      <c r="S8" s="1">
        <v>10</v>
      </c>
      <c r="T8" s="82">
        <v>1.2</v>
      </c>
    </row>
    <row r="9" spans="1:23" x14ac:dyDescent="0.2">
      <c r="A9" s="3">
        <v>5</v>
      </c>
      <c r="B9" s="1">
        <f ca="1">IF(A9=sheet4!$A$7,sheet4!$B$7,B9)</f>
        <v>1751.0000000000305</v>
      </c>
      <c r="C9" s="1">
        <f t="shared" ca="1" si="0"/>
        <v>7229.3657737184785</v>
      </c>
      <c r="D9" s="127">
        <f t="shared" ca="1" si="2"/>
        <v>1.2584456565832949E-4</v>
      </c>
      <c r="E9" s="131"/>
      <c r="F9" s="124"/>
      <c r="G9" s="124"/>
      <c r="H9" s="102">
        <v>1.2</v>
      </c>
      <c r="I9" s="103">
        <f t="shared" ca="1" si="1"/>
        <v>0.72394713746622597</v>
      </c>
      <c r="Q9" s="3">
        <v>5</v>
      </c>
      <c r="R9" s="1">
        <v>345</v>
      </c>
      <c r="S9" s="1">
        <v>10</v>
      </c>
      <c r="T9" s="82">
        <v>1.1000000000000001</v>
      </c>
    </row>
    <row r="10" spans="1:23" x14ac:dyDescent="0.2">
      <c r="A10" s="3">
        <v>6</v>
      </c>
      <c r="B10" s="1">
        <f ca="1">IF(A10=sheet4!$A$7,sheet4!$B$7,B10)</f>
        <v>2101.0000000000305</v>
      </c>
      <c r="C10" s="1">
        <f t="shared" ca="1" si="0"/>
        <v>6879.3657737184785</v>
      </c>
      <c r="D10" s="127">
        <f t="shared" ca="1" si="2"/>
        <v>1.3162791558927746E-4</v>
      </c>
      <c r="E10" s="131"/>
      <c r="F10" s="124"/>
      <c r="G10" s="124"/>
      <c r="H10" s="102">
        <v>1.25</v>
      </c>
      <c r="I10" s="103">
        <f t="shared" ca="1" si="1"/>
        <v>0.67924392037590997</v>
      </c>
      <c r="Q10" s="167">
        <v>6</v>
      </c>
      <c r="R10" s="168">
        <v>350</v>
      </c>
      <c r="S10" s="168">
        <v>10</v>
      </c>
      <c r="T10" s="169">
        <v>2</v>
      </c>
    </row>
    <row r="11" spans="1:23" x14ac:dyDescent="0.2">
      <c r="A11" s="3">
        <v>7</v>
      </c>
      <c r="B11" s="1">
        <f ca="1">IF(A11=sheet4!$A$7,sheet4!$B$7,B11)</f>
        <v>2451.0000000000305</v>
      </c>
      <c r="C11" s="1">
        <f t="shared" ca="1" si="0"/>
        <v>6529.3657737184785</v>
      </c>
      <c r="D11" s="127">
        <f t="shared" ca="1" si="2"/>
        <v>1.3796667427899765E-4</v>
      </c>
      <c r="E11" s="131"/>
      <c r="F11" s="124"/>
      <c r="G11" s="124"/>
      <c r="H11" s="102">
        <v>1.3</v>
      </c>
      <c r="I11" s="103">
        <f t="shared" ca="1" si="1"/>
        <v>0.63569989058014442</v>
      </c>
      <c r="Q11" s="3">
        <v>7</v>
      </c>
      <c r="R11" s="1"/>
      <c r="S11" s="1"/>
      <c r="T11" s="82"/>
      <c r="V11" t="s">
        <v>59</v>
      </c>
    </row>
    <row r="12" spans="1:23" x14ac:dyDescent="0.2">
      <c r="A12" s="3">
        <v>8</v>
      </c>
      <c r="B12" s="1">
        <f ca="1">IF(A12=sheet4!$A$7,sheet4!$B$7,B12)</f>
        <v>2801.0000000000305</v>
      </c>
      <c r="C12" s="1">
        <f t="shared" ca="1" si="0"/>
        <v>6179.3657737184785</v>
      </c>
      <c r="D12" s="127">
        <f t="shared" ca="1" si="2"/>
        <v>1.4494455535594096E-4</v>
      </c>
      <c r="E12" s="131"/>
      <c r="F12" s="124"/>
      <c r="G12" s="124"/>
      <c r="H12" s="102">
        <v>1.35</v>
      </c>
      <c r="I12" s="103">
        <f t="shared" ca="1" si="1"/>
        <v>0.59328498949989406</v>
      </c>
      <c r="Q12" s="3">
        <v>8</v>
      </c>
      <c r="R12" s="1"/>
      <c r="S12" s="1"/>
      <c r="T12" s="82"/>
    </row>
    <row r="13" spans="1:23" x14ac:dyDescent="0.2">
      <c r="A13" s="3">
        <v>9</v>
      </c>
      <c r="B13" s="1">
        <f ca="1">IF(A13=sheet4!$A$7,sheet4!$B$7,B13)</f>
        <v>3151.0000000000305</v>
      </c>
      <c r="C13" s="1">
        <f t="shared" ca="1" si="0"/>
        <v>5829.3657737184785</v>
      </c>
      <c r="D13" s="127">
        <f t="shared" ca="1" si="2"/>
        <v>1.5266289739287409E-4</v>
      </c>
      <c r="E13" s="131"/>
      <c r="F13" s="124"/>
      <c r="G13" s="124"/>
      <c r="H13" s="102">
        <v>1.4</v>
      </c>
      <c r="I13" s="103">
        <f t="shared" ca="1" si="1"/>
        <v>0.55196993799719074</v>
      </c>
      <c r="Q13" s="3">
        <v>9</v>
      </c>
      <c r="R13" s="1"/>
      <c r="S13" s="1"/>
      <c r="T13" s="82"/>
    </row>
    <row r="14" spans="1:23" x14ac:dyDescent="0.2">
      <c r="A14" s="3">
        <v>10</v>
      </c>
      <c r="B14" s="1">
        <f ca="1">IF(A14=sheet4!$A$7,sheet4!$B$7,B14)</f>
        <v>3501.0000000000305</v>
      </c>
      <c r="C14" s="1">
        <f t="shared" ca="1" si="0"/>
        <v>5479.3657737184785</v>
      </c>
      <c r="D14" s="127">
        <f t="shared" ca="1" si="2"/>
        <v>1.6124552816324956E-4</v>
      </c>
      <c r="E14" s="131"/>
      <c r="F14" s="124"/>
      <c r="G14" s="124"/>
      <c r="H14" s="102">
        <v>1.45</v>
      </c>
      <c r="I14" s="103">
        <f t="shared" ca="1" si="1"/>
        <v>0.51172621616364389</v>
      </c>
      <c r="Q14" s="3">
        <v>10</v>
      </c>
      <c r="R14" s="1"/>
      <c r="S14" s="1"/>
      <c r="T14" s="82"/>
    </row>
    <row r="15" spans="1:23" x14ac:dyDescent="0.2">
      <c r="A15" s="3">
        <v>11</v>
      </c>
      <c r="B15" s="1">
        <f ca="1">IF(A15=sheet4!$A$7,sheet4!$B$7,B15)</f>
        <v>3851.0000000000305</v>
      </c>
      <c r="C15" s="1">
        <f t="shared" ca="1" si="0"/>
        <v>5129.3657737184785</v>
      </c>
      <c r="D15" s="127">
        <f t="shared" ca="1" si="2"/>
        <v>1.7084531912060991E-4</v>
      </c>
      <c r="E15" s="131"/>
      <c r="F15" s="124"/>
      <c r="G15" s="124"/>
      <c r="H15" s="102">
        <v>1.5</v>
      </c>
      <c r="I15" s="103">
        <f t="shared" ca="1" si="1"/>
        <v>0.47252604363305989</v>
      </c>
      <c r="Q15" s="3">
        <v>11</v>
      </c>
      <c r="R15" s="1"/>
      <c r="S15" s="1"/>
      <c r="T15" s="82"/>
    </row>
    <row r="16" spans="1:23" x14ac:dyDescent="0.2">
      <c r="A16" s="3">
        <v>12</v>
      </c>
      <c r="B16" s="1">
        <f ca="1">IF(A16=sheet4!$A$7,sheet4!$B$7,B16)</f>
        <v>4201.0000000000309</v>
      </c>
      <c r="C16" s="1">
        <f t="shared" ca="1" si="0"/>
        <v>4779.3657737184785</v>
      </c>
      <c r="D16" s="127">
        <f t="shared" ca="1" si="2"/>
        <v>1.8165314862509725E-4</v>
      </c>
      <c r="E16" s="131"/>
      <c r="F16" s="124"/>
      <c r="G16" s="124"/>
      <c r="H16" s="102">
        <v>1.55</v>
      </c>
      <c r="I16" s="103">
        <f t="shared" ca="1" si="1"/>
        <v>0.4343423604045698</v>
      </c>
      <c r="Q16" s="3">
        <v>12</v>
      </c>
      <c r="R16" s="1"/>
      <c r="S16" s="1"/>
      <c r="T16" s="82"/>
    </row>
    <row r="17" spans="1:20" x14ac:dyDescent="0.2">
      <c r="A17" s="3">
        <v>13</v>
      </c>
      <c r="B17" s="1">
        <f ca="1">IF(A17=sheet4!$A$7,sheet4!$B$7,B17)</f>
        <v>4551.0000000000309</v>
      </c>
      <c r="C17" s="1">
        <f t="shared" ca="1" si="0"/>
        <v>4429.3657737184785</v>
      </c>
      <c r="D17" s="127">
        <f t="shared" ca="1" si="2"/>
        <v>1.9391035755807036E-4</v>
      </c>
      <c r="E17" s="131"/>
      <c r="F17" s="124"/>
      <c r="G17" s="124"/>
      <c r="H17" s="102">
        <v>1.6</v>
      </c>
      <c r="I17" s="103">
        <f t="shared" ca="1" si="1"/>
        <v>0.39714880816303205</v>
      </c>
      <c r="Q17" s="3">
        <v>13</v>
      </c>
      <c r="R17" s="1"/>
      <c r="S17" s="1"/>
      <c r="T17" s="82"/>
    </row>
    <row r="18" spans="1:20" x14ac:dyDescent="0.2">
      <c r="A18" s="3">
        <v>14</v>
      </c>
      <c r="B18" s="1">
        <f ca="1">IF(A18=sheet4!$A$7,sheet4!$B$7,B18)</f>
        <v>4901.0000000000309</v>
      </c>
      <c r="C18" s="1">
        <f t="shared" ca="1" si="0"/>
        <v>4079.3657737184785</v>
      </c>
      <c r="D18" s="127">
        <f t="shared" ca="1" si="2"/>
        <v>2.0792636289745887E-4</v>
      </c>
      <c r="E18" s="131"/>
      <c r="F18" s="124"/>
      <c r="G18" s="124"/>
      <c r="H18" s="102">
        <v>1.65</v>
      </c>
      <c r="I18" s="103">
        <f t="shared" ca="1" si="1"/>
        <v>0.36091971208379603</v>
      </c>
      <c r="Q18" s="3">
        <v>14</v>
      </c>
      <c r="R18" s="1"/>
      <c r="S18" s="1"/>
      <c r="T18" s="82"/>
    </row>
    <row r="19" spans="1:20" x14ac:dyDescent="0.2">
      <c r="A19" s="3">
        <v>15</v>
      </c>
      <c r="B19" s="1">
        <f ca="1">IF(A19=sheet4!$A$7,sheet4!$B$7,B19)</f>
        <v>5251.0000000000309</v>
      </c>
      <c r="C19" s="1">
        <f t="shared" ca="1" si="0"/>
        <v>3729.3657737184785</v>
      </c>
      <c r="D19" s="127">
        <f t="shared" ca="1" si="2"/>
        <v>2.2410403968280111E-4</v>
      </c>
      <c r="E19" s="131"/>
      <c r="F19" s="124"/>
      <c r="G19" s="124"/>
      <c r="H19" s="102">
        <v>1.7</v>
      </c>
      <c r="I19" s="103">
        <f t="shared" ca="1" si="1"/>
        <v>0.32563006310929915</v>
      </c>
      <c r="Q19" s="3">
        <v>15</v>
      </c>
      <c r="R19" s="1"/>
      <c r="S19" s="1"/>
      <c r="T19" s="82"/>
    </row>
    <row r="20" spans="1:20" x14ac:dyDescent="0.2">
      <c r="A20" s="3">
        <v>16</v>
      </c>
      <c r="B20" s="1">
        <f ca="1">IF(A20=sheet4!$A$7,sheet4!$B$7,B20)</f>
        <v>5601.0000000000309</v>
      </c>
      <c r="C20" s="1">
        <f t="shared" ca="1" si="0"/>
        <v>3379.3657737184785</v>
      </c>
      <c r="D20" s="127">
        <f t="shared" ca="1" si="2"/>
        <v>2.4297704145626612E-4</v>
      </c>
      <c r="E20" s="131"/>
      <c r="F20" s="124"/>
      <c r="G20" s="124"/>
      <c r="H20" s="102">
        <v>1.75</v>
      </c>
      <c r="I20" s="103">
        <f t="shared" ca="1" si="1"/>
        <v>0.29125550068523354</v>
      </c>
      <c r="Q20" s="3">
        <v>16</v>
      </c>
      <c r="R20" s="1"/>
      <c r="S20" s="1"/>
      <c r="T20" s="82"/>
    </row>
    <row r="21" spans="1:20" x14ac:dyDescent="0.2">
      <c r="A21" s="3">
        <v>17</v>
      </c>
      <c r="B21" s="1">
        <f ca="1">IF(A21=sheet4!$A$7,sheet4!$B$7,B21)</f>
        <v>5951.0000000000309</v>
      </c>
      <c r="C21" s="1">
        <f t="shared" ca="1" si="0"/>
        <v>3029.3657737184785</v>
      </c>
      <c r="D21" s="127">
        <f t="shared" ca="1" si="2"/>
        <v>2.6526583100150994E-4</v>
      </c>
      <c r="E21" s="131"/>
      <c r="F21" s="124"/>
      <c r="G21" s="124"/>
      <c r="H21" s="102">
        <v>1.8</v>
      </c>
      <c r="I21" s="103">
        <f t="shared" ca="1" si="1"/>
        <v>0.25777229594437634</v>
      </c>
      <c r="Q21" s="3">
        <v>17</v>
      </c>
      <c r="R21" s="1"/>
      <c r="S21" s="1"/>
      <c r="T21" s="82"/>
    </row>
    <row r="22" spans="1:20" x14ac:dyDescent="0.2">
      <c r="A22" s="3">
        <v>18</v>
      </c>
      <c r="B22" s="1">
        <f ca="1">IF(A22=sheet4!$A$7,sheet4!$B$7,B22)</f>
        <v>6301.0000000000309</v>
      </c>
      <c r="C22" s="1">
        <f t="shared" ca="1" si="0"/>
        <v>2679.3657737184785</v>
      </c>
      <c r="D22" s="127">
        <f t="shared" ca="1" si="2"/>
        <v>2.9196351034464297E-4</v>
      </c>
      <c r="E22" s="131"/>
      <c r="F22" s="124"/>
      <c r="G22" s="124"/>
      <c r="H22" s="102">
        <v>1.85</v>
      </c>
      <c r="I22" s="103">
        <f t="shared" ca="1" si="1"/>
        <v>0.22515733532648546</v>
      </c>
      <c r="Q22" s="3">
        <v>18</v>
      </c>
      <c r="R22" s="1"/>
      <c r="S22" s="1"/>
      <c r="T22" s="82"/>
    </row>
    <row r="23" spans="1:20" x14ac:dyDescent="0.2">
      <c r="A23" s="3">
        <v>19</v>
      </c>
      <c r="B23" s="1">
        <f ca="1">IF(A23=sheet4!$A$7,sheet4!$B$7,B23)</f>
        <v>6651.0000000000309</v>
      </c>
      <c r="C23" s="1">
        <f t="shared" ca="1" si="0"/>
        <v>2329.3657737184785</v>
      </c>
      <c r="D23" s="127">
        <f t="shared" ca="1" si="2"/>
        <v>3.2446935028217113E-4</v>
      </c>
      <c r="E23" s="131"/>
      <c r="F23" s="124"/>
      <c r="G23" s="124"/>
      <c r="H23" s="102">
        <v>1.9</v>
      </c>
      <c r="I23" s="103">
        <f t="shared" ca="1" si="1"/>
        <v>0.19338810462293435</v>
      </c>
      <c r="Q23" s="3">
        <v>19</v>
      </c>
      <c r="R23" s="1"/>
      <c r="S23" s="1"/>
      <c r="T23" s="82"/>
    </row>
    <row r="24" spans="1:20" x14ac:dyDescent="0.2">
      <c r="A24" s="3">
        <v>20</v>
      </c>
      <c r="B24" s="1">
        <f ca="1">IF(A24=sheet4!$A$7,sheet4!$B$7,B24)</f>
        <v>7001.0000000000309</v>
      </c>
      <c r="C24" s="1">
        <f t="shared" ca="1" si="0"/>
        <v>1979.3657737184785</v>
      </c>
      <c r="D24" s="127">
        <f t="shared" ca="1" si="2"/>
        <v>3.6479651145805285E-4</v>
      </c>
      <c r="E24" s="131"/>
      <c r="F24" s="124"/>
      <c r="G24" s="124"/>
      <c r="H24" s="102">
        <v>1.95</v>
      </c>
      <c r="I24" s="103">
        <f t="shared" ca="1" si="1"/>
        <v>0.16244267343508037</v>
      </c>
      <c r="Q24" s="3">
        <v>20</v>
      </c>
      <c r="R24" s="1"/>
      <c r="S24" s="1"/>
      <c r="T24" s="82"/>
    </row>
    <row r="25" spans="1:20" ht="13.5" thickBot="1" x14ac:dyDescent="0.25">
      <c r="A25" s="3">
        <v>21</v>
      </c>
      <c r="B25" s="1">
        <f ca="1">IF(A25=sheet4!$A$7,sheet4!$B$7,B25)</f>
        <v>7351.0000000000309</v>
      </c>
      <c r="C25" s="1">
        <f t="shared" ca="1" si="0"/>
        <v>1629.3657737184785</v>
      </c>
      <c r="D25" s="127">
        <f t="shared" ca="1" si="2"/>
        <v>4.1587850737380975E-4</v>
      </c>
      <c r="E25" s="132"/>
      <c r="F25" s="133"/>
      <c r="G25" s="133"/>
      <c r="H25" s="170">
        <v>2</v>
      </c>
      <c r="I25" s="171">
        <f t="shared" ca="1" si="1"/>
        <v>0.13229968003564813</v>
      </c>
      <c r="Q25" s="3">
        <v>21</v>
      </c>
      <c r="R25" s="1"/>
      <c r="S25" s="1"/>
      <c r="T25" s="82"/>
    </row>
    <row r="26" spans="1:20" ht="19.5" customHeight="1" thickBot="1" x14ac:dyDescent="0.25">
      <c r="A26" s="3">
        <v>22</v>
      </c>
      <c r="B26" s="1">
        <f ca="1">IF(A26=sheet4!$A$7,sheet4!$B$7,B26)</f>
        <v>7701.0000000000309</v>
      </c>
      <c r="C26" s="1">
        <f t="shared" ca="1" si="0"/>
        <v>1279.3657737184785</v>
      </c>
      <c r="D26" s="82">
        <f t="shared" ca="1" si="2"/>
        <v>4.8190069140342247E-4</v>
      </c>
      <c r="H26" s="198" t="s">
        <v>107</v>
      </c>
      <c r="I26" s="199"/>
      <c r="J26" s="199"/>
      <c r="K26" s="199"/>
      <c r="L26" s="199"/>
      <c r="M26" s="199"/>
      <c r="N26" s="199"/>
      <c r="O26" s="200"/>
      <c r="Q26" s="4">
        <v>22</v>
      </c>
      <c r="R26" s="5"/>
      <c r="S26" s="5"/>
      <c r="T26" s="83"/>
    </row>
    <row r="27" spans="1:20" ht="12.75" customHeight="1" x14ac:dyDescent="0.2">
      <c r="A27" s="3">
        <v>23</v>
      </c>
      <c r="B27" s="1">
        <f ca="1">IF(A27=sheet4!$A$7,sheet4!$B$7,B27)</f>
        <v>8051.0000000000309</v>
      </c>
      <c r="C27" s="1">
        <f t="shared" ca="1" si="0"/>
        <v>929.36577371847852</v>
      </c>
      <c r="D27" s="82">
        <f t="shared" ca="1" si="2"/>
        <v>5.678023927224139E-4</v>
      </c>
      <c r="H27" s="201"/>
      <c r="I27" s="202"/>
      <c r="J27" s="202"/>
      <c r="K27" s="202"/>
      <c r="L27" s="202"/>
      <c r="M27" s="202"/>
      <c r="N27" s="202"/>
      <c r="O27" s="203"/>
    </row>
    <row r="28" spans="1:20" ht="12.75" customHeight="1" x14ac:dyDescent="0.2">
      <c r="A28" s="3">
        <v>24</v>
      </c>
      <c r="B28" s="1">
        <f ca="1">IF(A28=sheet4!$A$7,sheet4!$B$7,B28)</f>
        <v>8401.0000000000309</v>
      </c>
      <c r="C28" s="1">
        <f t="shared" ca="1" si="0"/>
        <v>579.36577371847852</v>
      </c>
      <c r="D28" s="82">
        <f t="shared" ca="1" si="2"/>
        <v>6.7077904463271032E-4</v>
      </c>
      <c r="H28" s="201"/>
      <c r="I28" s="202"/>
      <c r="J28" s="202"/>
      <c r="K28" s="202"/>
      <c r="L28" s="202"/>
      <c r="M28" s="202"/>
      <c r="N28" s="202"/>
      <c r="O28" s="203"/>
    </row>
    <row r="29" spans="1:20" ht="12.75" customHeight="1" x14ac:dyDescent="0.2">
      <c r="A29" s="3">
        <v>25</v>
      </c>
      <c r="B29" s="1">
        <f ca="1">IF(A29=sheet4!$A$7,sheet4!$B$7,B29)</f>
        <v>8751.0000000000309</v>
      </c>
      <c r="C29" s="1">
        <f t="shared" ca="1" si="0"/>
        <v>229.36577371847852</v>
      </c>
      <c r="D29" s="82">
        <f t="shared" ca="1" si="2"/>
        <v>6.8331812634729572E-4</v>
      </c>
      <c r="H29" s="201"/>
      <c r="I29" s="202"/>
      <c r="J29" s="202"/>
      <c r="K29" s="202"/>
      <c r="L29" s="202"/>
      <c r="M29" s="202"/>
      <c r="N29" s="202"/>
      <c r="O29" s="203"/>
    </row>
    <row r="30" spans="1:20" ht="12.75" customHeight="1" x14ac:dyDescent="0.2">
      <c r="A30" s="3">
        <v>26</v>
      </c>
      <c r="B30" s="1">
        <f ca="1">IF(A30=sheet4!$A$7,sheet4!$B$7,B30)</f>
        <v>9101.0000000000309</v>
      </c>
      <c r="C30" s="1">
        <f t="shared" ca="1" si="0"/>
        <v>120.63422628152148</v>
      </c>
      <c r="D30" s="82">
        <f t="shared" ca="1" si="2"/>
        <v>2.2930489108768529E-3</v>
      </c>
      <c r="H30" s="201"/>
      <c r="I30" s="202"/>
      <c r="J30" s="202"/>
      <c r="K30" s="202"/>
      <c r="L30" s="202"/>
      <c r="M30" s="202"/>
      <c r="N30" s="202"/>
      <c r="O30" s="203"/>
    </row>
    <row r="31" spans="1:20" ht="12.75" customHeight="1" x14ac:dyDescent="0.2">
      <c r="A31" s="3">
        <v>27</v>
      </c>
      <c r="B31" s="1">
        <f ca="1">IF(A31=sheet4!$A$7,sheet4!$B$7,B31)</f>
        <v>9451.0000000000309</v>
      </c>
      <c r="C31" s="1">
        <f t="shared" ca="1" si="0"/>
        <v>470.63422628152148</v>
      </c>
      <c r="D31" s="82">
        <f t="shared" ca="1" si="2"/>
        <v>3.2340179145585672E-2</v>
      </c>
      <c r="H31" s="201"/>
      <c r="I31" s="202"/>
      <c r="J31" s="202"/>
      <c r="K31" s="202"/>
      <c r="L31" s="202"/>
      <c r="M31" s="202"/>
      <c r="N31" s="202"/>
      <c r="O31" s="203"/>
    </row>
    <row r="32" spans="1:20" ht="12.75" customHeight="1" x14ac:dyDescent="0.2">
      <c r="A32" s="3">
        <v>28</v>
      </c>
      <c r="B32" s="1">
        <f ca="1">IF(A32=sheet4!$A$7,sheet4!$B$7,B32)</f>
        <v>9416.0000000000309</v>
      </c>
      <c r="C32" s="1">
        <f t="shared" ca="1" si="0"/>
        <v>435.63422628152148</v>
      </c>
      <c r="D32" s="82">
        <f t="shared" ca="1" si="2"/>
        <v>1.966776354824304E-3</v>
      </c>
      <c r="H32" s="201"/>
      <c r="I32" s="202"/>
      <c r="J32" s="202"/>
      <c r="K32" s="202"/>
      <c r="L32" s="202"/>
      <c r="M32" s="202"/>
      <c r="N32" s="202"/>
      <c r="O32" s="203"/>
    </row>
    <row r="33" spans="1:15" ht="12.75" customHeight="1" x14ac:dyDescent="0.2">
      <c r="A33" s="3">
        <v>29</v>
      </c>
      <c r="B33" s="1">
        <f ca="1">IF(A33=sheet4!$A$7,sheet4!$B$7,B33)</f>
        <v>9381.0000000000309</v>
      </c>
      <c r="C33" s="1">
        <f t="shared" ca="1" si="0"/>
        <v>400.63422628152148</v>
      </c>
      <c r="D33" s="82">
        <f t="shared" ca="1" si="2"/>
        <v>2.111076938569819E-3</v>
      </c>
      <c r="H33" s="201"/>
      <c r="I33" s="202"/>
      <c r="J33" s="202"/>
      <c r="K33" s="202"/>
      <c r="L33" s="202"/>
      <c r="M33" s="202"/>
      <c r="N33" s="202"/>
      <c r="O33" s="203"/>
    </row>
    <row r="34" spans="1:15" ht="12.75" customHeight="1" x14ac:dyDescent="0.2">
      <c r="A34" s="3">
        <v>30</v>
      </c>
      <c r="B34" s="1">
        <f ca="1">IF(A34=sheet4!$A$7,sheet4!$B$7,B34)</f>
        <v>9346.0000000000309</v>
      </c>
      <c r="C34" s="1">
        <f t="shared" ca="1" si="0"/>
        <v>365.63422628152148</v>
      </c>
      <c r="D34" s="82">
        <f t="shared" ca="1" si="2"/>
        <v>2.2779843994890961E-3</v>
      </c>
      <c r="H34" s="201"/>
      <c r="I34" s="202"/>
      <c r="J34" s="202"/>
      <c r="K34" s="202"/>
      <c r="L34" s="202"/>
      <c r="M34" s="202"/>
      <c r="N34" s="202"/>
      <c r="O34" s="203"/>
    </row>
    <row r="35" spans="1:15" ht="12.75" customHeight="1" x14ac:dyDescent="0.2">
      <c r="A35" s="3">
        <v>31</v>
      </c>
      <c r="B35" s="1">
        <f ca="1">IF(A35=sheet4!$A$7,sheet4!$B$7,B35)</f>
        <v>9311.0000000000309</v>
      </c>
      <c r="C35" s="1">
        <f t="shared" ca="1" si="0"/>
        <v>330.63422628152148</v>
      </c>
      <c r="D35" s="82">
        <f t="shared" ca="1" si="2"/>
        <v>2.4731708762541975E-3</v>
      </c>
      <c r="H35" s="201"/>
      <c r="I35" s="202"/>
      <c r="J35" s="202"/>
      <c r="K35" s="202"/>
      <c r="L35" s="202"/>
      <c r="M35" s="202"/>
      <c r="N35" s="202"/>
      <c r="O35" s="203"/>
    </row>
    <row r="36" spans="1:15" ht="12.75" customHeight="1" x14ac:dyDescent="0.2">
      <c r="A36" s="3">
        <v>32</v>
      </c>
      <c r="B36" s="1">
        <f ca="1">IF(A36=sheet4!$A$7,sheet4!$B$7,B36)</f>
        <v>9276.0000000000309</v>
      </c>
      <c r="C36" s="1">
        <f t="shared" ca="1" si="0"/>
        <v>295.63422628152148</v>
      </c>
      <c r="D36" s="82">
        <f t="shared" ca="1" si="2"/>
        <v>2.7043263204768078E-3</v>
      </c>
      <c r="H36" s="201"/>
      <c r="I36" s="202"/>
      <c r="J36" s="202"/>
      <c r="K36" s="202"/>
      <c r="L36" s="202"/>
      <c r="M36" s="202"/>
      <c r="N36" s="202"/>
      <c r="O36" s="203"/>
    </row>
    <row r="37" spans="1:15" ht="12.75" customHeight="1" x14ac:dyDescent="0.2">
      <c r="A37" s="3">
        <v>33</v>
      </c>
      <c r="B37" s="1">
        <f ca="1">IF(A37=sheet4!$A$7,sheet4!$B$7,B37)</f>
        <v>9241.0000000000309</v>
      </c>
      <c r="C37" s="1">
        <f t="shared" ca="1" si="0"/>
        <v>260.63422628152148</v>
      </c>
      <c r="D37" s="82">
        <f t="shared" ca="1" si="2"/>
        <v>2.9820987619875042E-3</v>
      </c>
      <c r="H37" s="201"/>
      <c r="I37" s="202"/>
      <c r="J37" s="202"/>
      <c r="K37" s="202"/>
      <c r="L37" s="202"/>
      <c r="M37" s="202"/>
      <c r="N37" s="202"/>
      <c r="O37" s="203"/>
    </row>
    <row r="38" spans="1:15" ht="12.75" customHeight="1" x14ac:dyDescent="0.2">
      <c r="A38" s="3">
        <v>34</v>
      </c>
      <c r="B38" s="1">
        <f ca="1">IF(A38=sheet4!$A$7,sheet4!$B$7,B38)</f>
        <v>9206.0000000000309</v>
      </c>
      <c r="C38" s="1">
        <f t="shared" ca="1" si="0"/>
        <v>225.63422628152148</v>
      </c>
      <c r="D38" s="82">
        <f t="shared" ca="1" si="2"/>
        <v>3.3215598744382219E-3</v>
      </c>
      <c r="H38" s="201"/>
      <c r="I38" s="202"/>
      <c r="J38" s="202"/>
      <c r="K38" s="202"/>
      <c r="L38" s="202"/>
      <c r="M38" s="202"/>
      <c r="N38" s="202"/>
      <c r="O38" s="203"/>
    </row>
    <row r="39" spans="1:15" ht="12.75" customHeight="1" thickBot="1" x14ac:dyDescent="0.25">
      <c r="A39" s="3">
        <v>35</v>
      </c>
      <c r="B39" s="1">
        <f ca="1">IF(A39=sheet4!$A$7,sheet4!$B$7,B39)</f>
        <v>9171.0000000000309</v>
      </c>
      <c r="C39" s="1">
        <f t="shared" ca="1" si="0"/>
        <v>190.63422628152148</v>
      </c>
      <c r="D39" s="82">
        <f t="shared" ca="1" si="2"/>
        <v>3.7444748666840585E-3</v>
      </c>
      <c r="H39" s="204"/>
      <c r="I39" s="205"/>
      <c r="J39" s="205"/>
      <c r="K39" s="205"/>
      <c r="L39" s="205"/>
      <c r="M39" s="205"/>
      <c r="N39" s="205"/>
      <c r="O39" s="206"/>
    </row>
    <row r="40" spans="1:15" ht="12.75" customHeight="1" x14ac:dyDescent="0.3">
      <c r="A40" s="3">
        <v>36</v>
      </c>
      <c r="B40" s="1">
        <f ca="1">IF(A40=sheet4!$A$7,sheet4!$B$7,B40)</f>
        <v>9136.0000000000309</v>
      </c>
      <c r="C40" s="1">
        <f t="shared" ca="1" si="0"/>
        <v>155.63422628152148</v>
      </c>
      <c r="D40" s="82">
        <f t="shared" ca="1" si="2"/>
        <v>4.2825590383489941E-3</v>
      </c>
      <c r="H40" s="122"/>
      <c r="I40" s="122"/>
      <c r="J40" s="122"/>
      <c r="K40" s="122"/>
      <c r="L40" s="122"/>
      <c r="M40" s="122"/>
      <c r="N40" s="122"/>
      <c r="O40" s="122"/>
    </row>
    <row r="41" spans="1:15" ht="12.75" customHeight="1" x14ac:dyDescent="0.3">
      <c r="A41" s="3">
        <v>37</v>
      </c>
      <c r="B41" s="1">
        <f ca="1">IF(A41=sheet4!$A$7,sheet4!$B$7,B41)</f>
        <v>9101.0000000000309</v>
      </c>
      <c r="C41" s="1">
        <f t="shared" ca="1" si="0"/>
        <v>120.63422628152148</v>
      </c>
      <c r="D41" s="82">
        <f t="shared" ca="1" si="2"/>
        <v>4.9803552379525141E-3</v>
      </c>
      <c r="H41" s="122"/>
      <c r="I41" s="122"/>
      <c r="J41" s="122"/>
      <c r="K41" s="122"/>
      <c r="L41" s="122"/>
      <c r="M41" s="122"/>
      <c r="N41" s="122"/>
      <c r="O41" s="122"/>
    </row>
    <row r="42" spans="1:15" ht="13.5" customHeight="1" x14ac:dyDescent="0.3">
      <c r="A42" s="3">
        <v>38</v>
      </c>
      <c r="B42" s="1">
        <f ca="1">IF(A42=sheet4!$A$7,sheet4!$B$7,B42)</f>
        <v>9066.0000000000309</v>
      </c>
      <c r="C42" s="1">
        <f t="shared" ca="1" si="0"/>
        <v>85.634226281521478</v>
      </c>
      <c r="D42" s="82">
        <f t="shared" ca="1" si="2"/>
        <v>5.8844556224039359E-3</v>
      </c>
      <c r="H42" s="122"/>
      <c r="I42" s="122"/>
      <c r="J42" s="122"/>
      <c r="K42" s="122"/>
      <c r="L42" s="122"/>
      <c r="M42" s="122"/>
      <c r="N42" s="122"/>
      <c r="O42" s="122"/>
    </row>
    <row r="43" spans="1:15" x14ac:dyDescent="0.2">
      <c r="A43" s="3">
        <v>39</v>
      </c>
      <c r="B43" s="1">
        <f ca="1">IF(A43=sheet4!$A$7,sheet4!$B$7,B43)</f>
        <v>9031.0000000000309</v>
      </c>
      <c r="C43" s="1">
        <f t="shared" ca="1" si="0"/>
        <v>50.634226281521478</v>
      </c>
      <c r="D43" s="82">
        <f t="shared" ca="1" si="2"/>
        <v>6.904773261046061E-3</v>
      </c>
      <c r="H43" s="124"/>
      <c r="I43" s="124"/>
      <c r="J43" s="124"/>
      <c r="K43" s="124"/>
      <c r="L43" s="124"/>
      <c r="M43" s="124"/>
      <c r="N43" s="124"/>
      <c r="O43" s="124"/>
    </row>
    <row r="44" spans="1:15" ht="13.5" thickBot="1" x14ac:dyDescent="0.25">
      <c r="A44" s="4">
        <v>40</v>
      </c>
      <c r="B44" s="5">
        <f ca="1">IF(A44=sheet4!$A$7,sheet4!$B$7,B44)</f>
        <v>8996.0000000000309</v>
      </c>
      <c r="C44" s="5">
        <f t="shared" ca="1" si="0"/>
        <v>15.634226281521478</v>
      </c>
      <c r="D44" s="83">
        <f t="shared" ca="1" si="2"/>
        <v>6.0980086657170815E-3</v>
      </c>
    </row>
    <row r="46" spans="1:15" ht="13.5" thickBot="1" x14ac:dyDescent="0.25"/>
    <row r="47" spans="1:15" x14ac:dyDescent="0.2">
      <c r="G47" s="180" t="s">
        <v>67</v>
      </c>
      <c r="H47" s="181"/>
      <c r="I47" s="181"/>
      <c r="J47" s="181"/>
      <c r="K47" s="182"/>
    </row>
    <row r="48" spans="1:15" x14ac:dyDescent="0.2">
      <c r="G48" s="183"/>
      <c r="H48" s="184"/>
      <c r="I48" s="184"/>
      <c r="J48" s="184"/>
      <c r="K48" s="185"/>
    </row>
    <row r="49" spans="7:11" x14ac:dyDescent="0.2">
      <c r="G49" s="183"/>
      <c r="H49" s="184"/>
      <c r="I49" s="184"/>
      <c r="J49" s="184"/>
      <c r="K49" s="185"/>
    </row>
    <row r="50" spans="7:11" ht="13.5" thickBot="1" x14ac:dyDescent="0.25">
      <c r="G50" s="186"/>
      <c r="H50" s="187"/>
      <c r="I50" s="187"/>
      <c r="J50" s="187"/>
      <c r="K50" s="188"/>
    </row>
    <row r="51" spans="7:11" ht="15" thickBot="1" x14ac:dyDescent="0.25">
      <c r="G51" s="117" t="s">
        <v>1</v>
      </c>
      <c r="H51" s="118" t="s">
        <v>66</v>
      </c>
      <c r="I51" s="119" t="s">
        <v>55</v>
      </c>
    </row>
    <row r="52" spans="7:11" x14ac:dyDescent="0.2">
      <c r="G52" s="110">
        <v>1</v>
      </c>
      <c r="H52" s="111">
        <v>1</v>
      </c>
      <c r="I52" s="120">
        <v>1</v>
      </c>
    </row>
    <row r="53" spans="7:11" x14ac:dyDescent="0.2">
      <c r="G53" s="112">
        <v>2</v>
      </c>
      <c r="H53" s="109">
        <v>6</v>
      </c>
      <c r="I53" s="121">
        <v>1.05</v>
      </c>
    </row>
    <row r="54" spans="7:11" x14ac:dyDescent="0.2">
      <c r="G54" s="112">
        <v>3</v>
      </c>
      <c r="H54" s="109">
        <v>11</v>
      </c>
      <c r="I54" s="121">
        <v>1.85</v>
      </c>
    </row>
    <row r="55" spans="7:11" x14ac:dyDescent="0.2">
      <c r="G55" s="112">
        <v>4</v>
      </c>
      <c r="H55" s="109">
        <v>51</v>
      </c>
      <c r="I55" s="113">
        <v>1.8</v>
      </c>
    </row>
    <row r="56" spans="7:11" x14ac:dyDescent="0.2">
      <c r="G56" s="112">
        <v>5</v>
      </c>
      <c r="H56" s="109">
        <v>101</v>
      </c>
      <c r="I56" s="113">
        <v>1.1000000000000001</v>
      </c>
    </row>
    <row r="57" spans="7:11" ht="13.5" thickBot="1" x14ac:dyDescent="0.25">
      <c r="G57" s="114">
        <v>6</v>
      </c>
      <c r="H57" s="115">
        <v>166</v>
      </c>
      <c r="I57" s="116">
        <v>2</v>
      </c>
    </row>
  </sheetData>
  <mergeCells count="5">
    <mergeCell ref="Q1:W3"/>
    <mergeCell ref="G47:K50"/>
    <mergeCell ref="A1:D3"/>
    <mergeCell ref="E1:J3"/>
    <mergeCell ref="H26:O39"/>
  </mergeCells>
  <phoneticPr fontId="2" type="noConversion"/>
  <conditionalFormatting sqref="H5:I25">
    <cfRule type="expression" dxfId="5" priority="1" stopIfTrue="1">
      <formula>$I5=$J$5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List Box 2">
              <controlPr defaultSize="0" autoLine="0" autoPict="0">
                <anchor moveWithCells="1">
                  <from>
                    <xdr:col>4</xdr:col>
                    <xdr:colOff>19050</xdr:colOff>
                    <xdr:row>6</xdr:row>
                    <xdr:rowOff>133350</xdr:rowOff>
                  </from>
                  <to>
                    <xdr:col>5</xdr:col>
                    <xdr:colOff>28575</xdr:colOff>
                    <xdr:row>23</xdr:row>
                    <xdr:rowOff>19050</xdr:rowOff>
                  </to>
                </anchor>
              </controlPr>
            </control>
          </mc:Choice>
        </mc:AlternateContent>
        <mc:AlternateContent xmlns:mc="http://schemas.openxmlformats.org/markup-compatibility/2006">
          <mc:Choice Requires="x14">
            <control shapeId="2051" r:id="rId5" name="Button 3">
              <controlPr defaultSize="0" print="0" autoFill="0" autoPict="0" macro="[0]!Лист3.CommandButton1_Click">
                <anchor moveWithCells="1">
                  <from>
                    <xdr:col>20</xdr:col>
                    <xdr:colOff>495300</xdr:colOff>
                    <xdr:row>14</xdr:row>
                    <xdr:rowOff>85725</xdr:rowOff>
                  </from>
                  <to>
                    <xdr:col>22</xdr:col>
                    <xdr:colOff>152400</xdr:colOff>
                    <xdr:row>18</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V100"/>
  <sheetViews>
    <sheetView topLeftCell="A4" zoomScale="85" zoomScaleNormal="85" workbookViewId="0">
      <selection activeCell="H20" sqref="H20"/>
    </sheetView>
  </sheetViews>
  <sheetFormatPr defaultRowHeight="12.75" x14ac:dyDescent="0.2"/>
  <cols>
    <col min="1" max="1" width="6.28515625" customWidth="1"/>
    <col min="2" max="2" width="11.42578125" bestFit="1" customWidth="1"/>
    <col min="3" max="3" width="12" bestFit="1" customWidth="1"/>
    <col min="4" max="4" width="11.85546875" customWidth="1"/>
    <col min="5" max="5" width="11" customWidth="1"/>
    <col min="6" max="6" width="8.140625" customWidth="1"/>
    <col min="7" max="7" width="12.5703125" customWidth="1"/>
    <col min="8" max="8" width="12" bestFit="1" customWidth="1"/>
    <col min="9" max="9" width="11.140625" customWidth="1"/>
    <col min="10" max="10" width="13.42578125" customWidth="1"/>
    <col min="11" max="11" width="12" bestFit="1" customWidth="1"/>
    <col min="12" max="12" width="11" customWidth="1"/>
    <col min="13" max="13" width="8.85546875" customWidth="1"/>
    <col min="14" max="17" width="9.140625" hidden="1" customWidth="1"/>
  </cols>
  <sheetData>
    <row r="1" spans="1:22" ht="18.75" x14ac:dyDescent="0.3">
      <c r="A1" s="2" t="s">
        <v>23</v>
      </c>
    </row>
    <row r="2" spans="1:22" x14ac:dyDescent="0.2">
      <c r="A2" t="s">
        <v>12</v>
      </c>
    </row>
    <row r="3" spans="1:22" ht="19.5" customHeight="1" x14ac:dyDescent="0.2">
      <c r="A3" t="s">
        <v>13</v>
      </c>
    </row>
    <row r="4" spans="1:22" ht="46.5" customHeight="1" x14ac:dyDescent="0.2">
      <c r="H4" t="s">
        <v>20</v>
      </c>
      <c r="J4" s="12" t="s">
        <v>33</v>
      </c>
      <c r="K4" s="21" t="s">
        <v>19</v>
      </c>
      <c r="L4" s="12" t="s">
        <v>29</v>
      </c>
      <c r="M4" s="23" t="s">
        <v>25</v>
      </c>
    </row>
    <row r="5" spans="1:22" ht="18" customHeight="1" thickBot="1" x14ac:dyDescent="0.25">
      <c r="A5" s="2" t="s">
        <v>24</v>
      </c>
      <c r="H5" t="s">
        <v>21</v>
      </c>
      <c r="I5" s="11">
        <v>2</v>
      </c>
      <c r="J5" s="22">
        <f>INDEX(sheet5!$H$12:$H$22,N5)</f>
        <v>1.0000000000000001E-9</v>
      </c>
      <c r="K5" s="89">
        <f>INDEX(sheet5!I63:I120,O5)</f>
        <v>1.0000000000304681</v>
      </c>
      <c r="L5" s="90">
        <f>INDEX(sheet5!G26:G59,P5)</f>
        <v>350</v>
      </c>
      <c r="M5" s="91">
        <f>INDEX(sheet5!$K$124:$K$182,Q5)</f>
        <v>10</v>
      </c>
      <c r="N5" s="92">
        <v>11</v>
      </c>
      <c r="O5" s="11">
        <v>1</v>
      </c>
      <c r="P5" s="11">
        <v>31</v>
      </c>
      <c r="Q5" s="11">
        <v>19</v>
      </c>
      <c r="V5" t="s">
        <v>106</v>
      </c>
    </row>
    <row r="6" spans="1:22" ht="36.75" customHeight="1" thickBot="1" x14ac:dyDescent="0.25">
      <c r="A6" s="6" t="s">
        <v>22</v>
      </c>
      <c r="B6" s="7" t="s">
        <v>3</v>
      </c>
      <c r="C6" s="7" t="s">
        <v>4</v>
      </c>
      <c r="D6" s="7" t="s">
        <v>5</v>
      </c>
      <c r="E6" s="26" t="s">
        <v>18</v>
      </c>
      <c r="F6" s="33" t="s">
        <v>26</v>
      </c>
      <c r="G6" s="28" t="s">
        <v>17</v>
      </c>
      <c r="H6" s="28" t="s">
        <v>16</v>
      </c>
      <c r="I6" s="26" t="s">
        <v>10</v>
      </c>
      <c r="J6" s="26" t="s">
        <v>8</v>
      </c>
      <c r="K6" s="26" t="s">
        <v>11</v>
      </c>
      <c r="L6" s="28" t="s">
        <v>14</v>
      </c>
      <c r="M6" s="27" t="s">
        <v>27</v>
      </c>
      <c r="S6" t="s">
        <v>104</v>
      </c>
      <c r="T6">
        <v>4541</v>
      </c>
      <c r="V6">
        <f>100-U7</f>
        <v>32.944285399691694</v>
      </c>
    </row>
    <row r="7" spans="1:22" ht="54.75" customHeight="1" thickBot="1" x14ac:dyDescent="0.25">
      <c r="A7" s="8">
        <f ca="1">IF(I5=1,0,A7+1)</f>
        <v>5000</v>
      </c>
      <c r="B7" s="9">
        <f ca="1">IF(A7=0,K5,B7+F7)</f>
        <v>8980.3660276632181</v>
      </c>
      <c r="C7" s="61">
        <f ca="1">IF((B7+B7*sheet1!C6)&lt;=(J5/M5),(J5/M5),sheet1!B6/(B7+B7*sheet1!C6)^(2*sheet1!E6))</f>
        <v>5467749884325.6045</v>
      </c>
      <c r="D7" s="61">
        <f ca="1">C7*(B7-sheet1!D6)</f>
        <v>8805078661477444</v>
      </c>
      <c r="E7" s="61">
        <f ca="1">C7*sheet1!D6</f>
        <v>4.0297316647479704E+16</v>
      </c>
      <c r="F7" s="34">
        <f ca="1">IF(A7=0,L5,IF(D7&gt;0,IF(D7&lt;J7,IF(ABS(F7)&lt;=(J5/M5),M7,-F7/M5),F7),F7))</f>
        <v>-3.4999999999999995E-11</v>
      </c>
      <c r="G7" s="29" t="str">
        <f ca="1">IF(A7=0,"Исходное состояние",
         IF(ABS(F7)&lt;=(J5/M5),
          "Решение найдено",
         "Продолжайте поиск"))</f>
        <v>Решение найдено</v>
      </c>
      <c r="H7" s="30">
        <f ca="1">IF(A7=0,0,IF(ABS(F7)&lt;=(J5/M5),H7,B7))</f>
        <v>8980.3660278318712</v>
      </c>
      <c r="I7" s="31">
        <f ca="1">IF(A7=0,0,IF(ABS(F7)&lt;=(J5/M5),I7,C7))</f>
        <v>5467749883752.9844</v>
      </c>
      <c r="J7" s="31">
        <f ca="1">IF(A7=0,0,IF(ABS(F7)&lt;=(J5/M5),J7,D7))</f>
        <v>8805078661477469</v>
      </c>
      <c r="K7" s="31">
        <f ca="1">IF(A7=0,0,IF(ABS(F7)&lt;=(J5/M5),K7,E7))</f>
        <v>4.0297316643259496E+16</v>
      </c>
      <c r="L7" s="32">
        <f ca="1">IF(A7=0,0,IF(ABS(F7)&lt;=(J5/M5),L7,A7))</f>
        <v>109</v>
      </c>
      <c r="M7" s="35">
        <f ca="1">IF(A7=0,L5,F7)</f>
        <v>-3.4999999999999995E-11</v>
      </c>
      <c r="S7" t="s">
        <v>105</v>
      </c>
      <c r="T7">
        <v>3045</v>
      </c>
      <c r="U7">
        <f>T7*100/T6</f>
        <v>67.055714600308306</v>
      </c>
    </row>
    <row r="8" spans="1:22" x14ac:dyDescent="0.2">
      <c r="H8" s="25"/>
    </row>
    <row r="10" spans="1:22" x14ac:dyDescent="0.2">
      <c r="A10" s="2" t="s">
        <v>32</v>
      </c>
    </row>
    <row r="11" spans="1:22" x14ac:dyDescent="0.2">
      <c r="A11" s="2" t="s">
        <v>31</v>
      </c>
    </row>
    <row r="12" spans="1:22" ht="14.25" x14ac:dyDescent="0.2">
      <c r="A12" s="2" t="s">
        <v>30</v>
      </c>
      <c r="L12" s="11"/>
    </row>
    <row r="13" spans="1:22" x14ac:dyDescent="0.2">
      <c r="L13" s="11"/>
    </row>
    <row r="14" spans="1:22" x14ac:dyDescent="0.2">
      <c r="L14" s="11"/>
    </row>
    <row r="15" spans="1:22" x14ac:dyDescent="0.2">
      <c r="L15" s="11"/>
    </row>
    <row r="16" spans="1:22" x14ac:dyDescent="0.2">
      <c r="L16" s="11"/>
    </row>
    <row r="17" spans="8:12" x14ac:dyDescent="0.2">
      <c r="L17" s="11"/>
    </row>
    <row r="18" spans="8:12" x14ac:dyDescent="0.2">
      <c r="L18" s="11"/>
    </row>
    <row r="19" spans="8:12" x14ac:dyDescent="0.2">
      <c r="L19" s="11"/>
    </row>
    <row r="20" spans="8:12" x14ac:dyDescent="0.2">
      <c r="H20">
        <v>88</v>
      </c>
      <c r="L20" s="11"/>
    </row>
    <row r="21" spans="8:12" x14ac:dyDescent="0.2">
      <c r="L21" s="11"/>
    </row>
    <row r="22" spans="8:12" x14ac:dyDescent="0.2">
      <c r="L22" s="11"/>
    </row>
    <row r="23" spans="8:12" x14ac:dyDescent="0.2">
      <c r="L23" s="11"/>
    </row>
    <row r="24" spans="8:12" x14ac:dyDescent="0.2">
      <c r="L24" s="11"/>
    </row>
    <row r="25" spans="8:12" x14ac:dyDescent="0.2">
      <c r="L25" s="11"/>
    </row>
    <row r="26" spans="8:12" x14ac:dyDescent="0.2">
      <c r="L26" s="11"/>
    </row>
    <row r="27" spans="8:12" x14ac:dyDescent="0.2">
      <c r="L27" s="11"/>
    </row>
    <row r="28" spans="8:12" x14ac:dyDescent="0.2">
      <c r="L28" s="11"/>
    </row>
    <row r="29" spans="8:12" x14ac:dyDescent="0.2">
      <c r="L29" s="11"/>
    </row>
    <row r="30" spans="8:12" x14ac:dyDescent="0.2">
      <c r="L30" s="11"/>
    </row>
    <row r="31" spans="8:12" x14ac:dyDescent="0.2">
      <c r="L31" s="11"/>
    </row>
    <row r="32" spans="8:12" x14ac:dyDescent="0.2">
      <c r="L32" s="11"/>
    </row>
    <row r="33" spans="12:12" x14ac:dyDescent="0.2">
      <c r="L33" s="11"/>
    </row>
    <row r="34" spans="12:12" x14ac:dyDescent="0.2">
      <c r="L34" s="11"/>
    </row>
    <row r="35" spans="12:12" x14ac:dyDescent="0.2">
      <c r="L35" s="11"/>
    </row>
    <row r="36" spans="12:12" x14ac:dyDescent="0.2">
      <c r="L36" s="11"/>
    </row>
    <row r="37" spans="12:12" x14ac:dyDescent="0.2">
      <c r="L37" s="11"/>
    </row>
    <row r="38" spans="12:12" x14ac:dyDescent="0.2">
      <c r="L38" s="11"/>
    </row>
    <row r="39" spans="12:12" x14ac:dyDescent="0.2">
      <c r="L39" s="11"/>
    </row>
    <row r="40" spans="12:12" x14ac:dyDescent="0.2">
      <c r="L40" s="11"/>
    </row>
    <row r="41" spans="12:12" x14ac:dyDescent="0.2">
      <c r="L41" s="11"/>
    </row>
    <row r="42" spans="12:12" x14ac:dyDescent="0.2">
      <c r="L42" s="11"/>
    </row>
    <row r="43" spans="12:12" x14ac:dyDescent="0.2">
      <c r="L43" s="11"/>
    </row>
    <row r="44" spans="12:12" x14ac:dyDescent="0.2">
      <c r="L44" s="11"/>
    </row>
    <row r="45" spans="12:12" x14ac:dyDescent="0.2">
      <c r="L45" s="11"/>
    </row>
    <row r="46" spans="12:12" x14ac:dyDescent="0.2">
      <c r="L46" s="11"/>
    </row>
    <row r="47" spans="12:12" x14ac:dyDescent="0.2">
      <c r="L47" s="11"/>
    </row>
    <row r="48" spans="12:12" x14ac:dyDescent="0.2">
      <c r="L48" s="11"/>
    </row>
    <row r="49" spans="12:12" x14ac:dyDescent="0.2">
      <c r="L49" s="11"/>
    </row>
    <row r="50" spans="12:12" x14ac:dyDescent="0.2">
      <c r="L50" s="11"/>
    </row>
    <row r="51" spans="12:12" x14ac:dyDescent="0.2">
      <c r="L51" s="11"/>
    </row>
    <row r="52" spans="12:12" x14ac:dyDescent="0.2">
      <c r="L52" s="11"/>
    </row>
    <row r="53" spans="12:12" x14ac:dyDescent="0.2">
      <c r="L53" s="11"/>
    </row>
    <row r="54" spans="12:12" x14ac:dyDescent="0.2">
      <c r="L54" s="11"/>
    </row>
    <row r="55" spans="12:12" x14ac:dyDescent="0.2">
      <c r="L55" s="11"/>
    </row>
    <row r="56" spans="12:12" x14ac:dyDescent="0.2">
      <c r="L56" s="11"/>
    </row>
    <row r="57" spans="12:12" x14ac:dyDescent="0.2">
      <c r="L57" s="11"/>
    </row>
    <row r="58" spans="12:12" x14ac:dyDescent="0.2">
      <c r="L58" s="11"/>
    </row>
    <row r="59" spans="12:12" x14ac:dyDescent="0.2">
      <c r="L59" s="11"/>
    </row>
    <row r="60" spans="12:12" x14ac:dyDescent="0.2">
      <c r="L60" s="11"/>
    </row>
    <row r="61" spans="12:12" x14ac:dyDescent="0.2">
      <c r="L61" s="11"/>
    </row>
    <row r="62" spans="12:12" x14ac:dyDescent="0.2">
      <c r="L62" s="11"/>
    </row>
    <row r="63" spans="12:12" x14ac:dyDescent="0.2">
      <c r="L63" s="11"/>
    </row>
    <row r="64" spans="12:12" x14ac:dyDescent="0.2">
      <c r="L64" s="11"/>
    </row>
    <row r="65" spans="12:12" x14ac:dyDescent="0.2">
      <c r="L65" s="11"/>
    </row>
    <row r="66" spans="12:12" x14ac:dyDescent="0.2">
      <c r="L66" s="11"/>
    </row>
    <row r="67" spans="12:12" x14ac:dyDescent="0.2">
      <c r="L67" s="11"/>
    </row>
    <row r="68" spans="12:12" x14ac:dyDescent="0.2">
      <c r="L68" s="11"/>
    </row>
    <row r="69" spans="12:12" x14ac:dyDescent="0.2">
      <c r="L69" s="11"/>
    </row>
    <row r="70" spans="12:12" x14ac:dyDescent="0.2">
      <c r="L70" s="11"/>
    </row>
    <row r="71" spans="12:12" x14ac:dyDescent="0.2">
      <c r="L71" s="11"/>
    </row>
    <row r="72" spans="12:12" x14ac:dyDescent="0.2">
      <c r="L72" s="11"/>
    </row>
    <row r="73" spans="12:12" x14ac:dyDescent="0.2">
      <c r="L73" s="11"/>
    </row>
    <row r="74" spans="12:12" x14ac:dyDescent="0.2">
      <c r="L74" s="11"/>
    </row>
    <row r="75" spans="12:12" x14ac:dyDescent="0.2">
      <c r="L75" s="11"/>
    </row>
    <row r="76" spans="12:12" x14ac:dyDescent="0.2">
      <c r="L76" s="11"/>
    </row>
    <row r="77" spans="12:12" x14ac:dyDescent="0.2">
      <c r="L77" s="11"/>
    </row>
    <row r="78" spans="12:12" x14ac:dyDescent="0.2">
      <c r="L78" s="11"/>
    </row>
    <row r="79" spans="12:12" x14ac:dyDescent="0.2">
      <c r="L79" s="11"/>
    </row>
    <row r="80" spans="12:12" x14ac:dyDescent="0.2">
      <c r="L80" s="11"/>
    </row>
    <row r="81" spans="12:12" x14ac:dyDescent="0.2">
      <c r="L81" s="11"/>
    </row>
    <row r="82" spans="12:12" x14ac:dyDescent="0.2">
      <c r="L82" s="11"/>
    </row>
    <row r="83" spans="12:12" x14ac:dyDescent="0.2">
      <c r="L83" s="11"/>
    </row>
    <row r="84" spans="12:12" x14ac:dyDescent="0.2">
      <c r="L84" s="11"/>
    </row>
    <row r="85" spans="12:12" x14ac:dyDescent="0.2">
      <c r="L85" s="11"/>
    </row>
    <row r="86" spans="12:12" x14ac:dyDescent="0.2">
      <c r="L86" s="11"/>
    </row>
    <row r="87" spans="12:12" x14ac:dyDescent="0.2">
      <c r="L87" s="11"/>
    </row>
    <row r="88" spans="12:12" x14ac:dyDescent="0.2">
      <c r="L88" s="11"/>
    </row>
    <row r="89" spans="12:12" x14ac:dyDescent="0.2">
      <c r="L89" s="11"/>
    </row>
    <row r="90" spans="12:12" x14ac:dyDescent="0.2">
      <c r="L90" s="11"/>
    </row>
    <row r="91" spans="12:12" x14ac:dyDescent="0.2">
      <c r="L91" s="11"/>
    </row>
    <row r="92" spans="12:12" x14ac:dyDescent="0.2">
      <c r="L92" s="11"/>
    </row>
    <row r="93" spans="12:12" x14ac:dyDescent="0.2">
      <c r="L93" s="11"/>
    </row>
    <row r="94" spans="12:12" x14ac:dyDescent="0.2">
      <c r="L94" s="11"/>
    </row>
    <row r="95" spans="12:12" x14ac:dyDescent="0.2">
      <c r="L95" s="11"/>
    </row>
    <row r="96" spans="12:12" x14ac:dyDescent="0.2">
      <c r="L96" s="11"/>
    </row>
    <row r="97" spans="12:12" x14ac:dyDescent="0.2">
      <c r="L97" s="11"/>
    </row>
    <row r="98" spans="12:12" x14ac:dyDescent="0.2">
      <c r="L98" s="11"/>
    </row>
    <row r="99" spans="12:12" x14ac:dyDescent="0.2">
      <c r="L99" s="11"/>
    </row>
    <row r="100" spans="12:12" x14ac:dyDescent="0.2">
      <c r="L100" s="11"/>
    </row>
  </sheetData>
  <phoneticPr fontId="2" type="noConversion"/>
  <conditionalFormatting sqref="A7:E7">
    <cfRule type="expression" dxfId="4" priority="1" stopIfTrue="1">
      <formula>$A$7=0</formula>
    </cfRule>
  </conditionalFormatting>
  <conditionalFormatting sqref="G7:L7">
    <cfRule type="expression" dxfId="3" priority="2" stopIfTrue="1">
      <formula>$A$7=0</formula>
    </cfRule>
    <cfRule type="expression" dxfId="2" priority="3" stopIfTrue="1">
      <formula>$G$7="Решение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30" r:id="rId4" name="Drop Down 106">
              <controlPr defaultSize="0" autoLine="0" autoPict="0">
                <anchor moveWithCells="1">
                  <from>
                    <xdr:col>8</xdr:col>
                    <xdr:colOff>733425</xdr:colOff>
                    <xdr:row>4</xdr:row>
                    <xdr:rowOff>9525</xdr:rowOff>
                  </from>
                  <to>
                    <xdr:col>10</xdr:col>
                    <xdr:colOff>0</xdr:colOff>
                    <xdr:row>5</xdr:row>
                    <xdr:rowOff>0</xdr:rowOff>
                  </to>
                </anchor>
              </controlPr>
            </control>
          </mc:Choice>
        </mc:AlternateContent>
        <mc:AlternateContent xmlns:mc="http://schemas.openxmlformats.org/markup-compatibility/2006">
          <mc:Choice Requires="x14">
            <control shapeId="1189" r:id="rId5" name="List Box 165">
              <controlPr defaultSize="0" autoLine="0" autoPict="0">
                <anchor moveWithCells="1">
                  <from>
                    <xdr:col>7</xdr:col>
                    <xdr:colOff>9525</xdr:colOff>
                    <xdr:row>3</xdr:row>
                    <xdr:rowOff>38100</xdr:rowOff>
                  </from>
                  <to>
                    <xdr:col>9</xdr:col>
                    <xdr:colOff>0</xdr:colOff>
                    <xdr:row>5</xdr:row>
                    <xdr:rowOff>0</xdr:rowOff>
                  </to>
                </anchor>
              </controlPr>
            </control>
          </mc:Choice>
        </mc:AlternateContent>
        <mc:AlternateContent xmlns:mc="http://schemas.openxmlformats.org/markup-compatibility/2006">
          <mc:Choice Requires="x14">
            <control shapeId="1201" r:id="rId6" name="Drop Down 177">
              <controlPr defaultSize="0" autoLine="0" autoPict="0">
                <anchor moveWithCells="1">
                  <from>
                    <xdr:col>11</xdr:col>
                    <xdr:colOff>0</xdr:colOff>
                    <xdr:row>4</xdr:row>
                    <xdr:rowOff>9525</xdr:rowOff>
                  </from>
                  <to>
                    <xdr:col>12</xdr:col>
                    <xdr:colOff>19050</xdr:colOff>
                    <xdr:row>5</xdr:row>
                    <xdr:rowOff>0</xdr:rowOff>
                  </to>
                </anchor>
              </controlPr>
            </control>
          </mc:Choice>
        </mc:AlternateContent>
        <mc:AlternateContent xmlns:mc="http://schemas.openxmlformats.org/markup-compatibility/2006">
          <mc:Choice Requires="x14">
            <control shapeId="1202" r:id="rId7" name="Drop Down 178">
              <controlPr defaultSize="0" autoLine="0" autoPict="0">
                <anchor moveWithCells="1">
                  <from>
                    <xdr:col>12</xdr:col>
                    <xdr:colOff>0</xdr:colOff>
                    <xdr:row>3</xdr:row>
                    <xdr:rowOff>581025</xdr:rowOff>
                  </from>
                  <to>
                    <xdr:col>17</xdr:col>
                    <xdr:colOff>19050</xdr:colOff>
                    <xdr:row>5</xdr:row>
                    <xdr:rowOff>9525</xdr:rowOff>
                  </to>
                </anchor>
              </controlPr>
            </control>
          </mc:Choice>
        </mc:AlternateContent>
        <mc:AlternateContent xmlns:mc="http://schemas.openxmlformats.org/markup-compatibility/2006">
          <mc:Choice Requires="x14">
            <control shapeId="1200" r:id="rId8" name="Drop Down 176">
              <controlPr defaultSize="0" autoLine="0" autoPict="0">
                <anchor moveWithCells="1">
                  <from>
                    <xdr:col>10</xdr:col>
                    <xdr:colOff>0</xdr:colOff>
                    <xdr:row>4</xdr:row>
                    <xdr:rowOff>9525</xdr:rowOff>
                  </from>
                  <to>
                    <xdr:col>11</xdr:col>
                    <xdr:colOff>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5"/>
  <dimension ref="A1:BS182"/>
  <sheetViews>
    <sheetView topLeftCell="A17" zoomScale="115" zoomScaleNormal="115" workbookViewId="0">
      <selection activeCell="P119" sqref="P119"/>
    </sheetView>
  </sheetViews>
  <sheetFormatPr defaultRowHeight="12.75" x14ac:dyDescent="0.2"/>
  <cols>
    <col min="1" max="1" width="4.7109375" customWidth="1"/>
    <col min="2" max="2" width="11.7109375" customWidth="1"/>
    <col min="3" max="3" width="12.7109375" customWidth="1"/>
    <col min="4" max="5" width="12.5703125" customWidth="1"/>
    <col min="6" max="6" width="11.28515625" customWidth="1"/>
    <col min="7" max="8" width="12.7109375" customWidth="1"/>
    <col min="10" max="10" width="17.42578125" customWidth="1"/>
    <col min="11" max="11" width="11" customWidth="1"/>
  </cols>
  <sheetData>
    <row r="1" spans="1:11" ht="18.75" x14ac:dyDescent="0.3">
      <c r="A1" s="2" t="s">
        <v>23</v>
      </c>
    </row>
    <row r="2" spans="1:11" x14ac:dyDescent="0.2">
      <c r="A2" t="s">
        <v>12</v>
      </c>
    </row>
    <row r="3" spans="1:11" x14ac:dyDescent="0.2">
      <c r="A3" t="s">
        <v>13</v>
      </c>
    </row>
    <row r="4" spans="1:11" x14ac:dyDescent="0.2">
      <c r="A4" s="2" t="s">
        <v>46</v>
      </c>
    </row>
    <row r="5" spans="1:11" x14ac:dyDescent="0.2">
      <c r="A5" s="36" t="s">
        <v>47</v>
      </c>
    </row>
    <row r="6" spans="1:11" x14ac:dyDescent="0.2">
      <c r="A6" s="36" t="s">
        <v>48</v>
      </c>
    </row>
    <row r="7" spans="1:11" ht="14.25" x14ac:dyDescent="0.2">
      <c r="A7" s="36" t="s">
        <v>49</v>
      </c>
    </row>
    <row r="8" spans="1:11" x14ac:dyDescent="0.2">
      <c r="A8" s="36" t="s">
        <v>60</v>
      </c>
    </row>
    <row r="9" spans="1:11" x14ac:dyDescent="0.2">
      <c r="A9" s="36"/>
    </row>
    <row r="10" spans="1:11" ht="13.5" thickBot="1" x14ac:dyDescent="0.25">
      <c r="A10" s="55" t="s">
        <v>64</v>
      </c>
    </row>
    <row r="11" spans="1:11" ht="35.25" customHeight="1" thickBot="1" x14ac:dyDescent="0.25">
      <c r="A11" s="80" t="s">
        <v>6</v>
      </c>
      <c r="B11" s="80" t="s">
        <v>7</v>
      </c>
      <c r="C11" s="80" t="s">
        <v>10</v>
      </c>
      <c r="D11" s="80" t="s">
        <v>8</v>
      </c>
      <c r="E11" s="80" t="s">
        <v>11</v>
      </c>
      <c r="F11" s="80" t="s">
        <v>51</v>
      </c>
      <c r="G11" s="80" t="s">
        <v>50</v>
      </c>
      <c r="H11" s="80" t="s">
        <v>15</v>
      </c>
      <c r="I11" s="80" t="s">
        <v>9</v>
      </c>
      <c r="J11" s="80" t="s">
        <v>28</v>
      </c>
      <c r="K11" s="80" t="s">
        <v>34</v>
      </c>
    </row>
    <row r="12" spans="1:11" x14ac:dyDescent="0.2">
      <c r="A12" s="13">
        <v>1</v>
      </c>
      <c r="B12" s="77">
        <v>8981.0000000000309</v>
      </c>
      <c r="C12" s="78">
        <v>5465597828198.3838</v>
      </c>
      <c r="D12" s="78">
        <v>8805078101227765</v>
      </c>
      <c r="E12" s="78">
        <v>4.0281455993822088E+16</v>
      </c>
      <c r="F12" s="79">
        <v>4490</v>
      </c>
      <c r="G12" s="14">
        <v>2</v>
      </c>
      <c r="H12" s="14">
        <v>10</v>
      </c>
      <c r="I12" s="14">
        <v>1.0000000000304681</v>
      </c>
      <c r="J12" s="24">
        <f>ABS(I12-B12)</f>
        <v>8980</v>
      </c>
      <c r="K12" s="15">
        <v>10</v>
      </c>
    </row>
    <row r="13" spans="1:11" x14ac:dyDescent="0.2">
      <c r="A13" s="16">
        <v>2</v>
      </c>
      <c r="B13" s="62">
        <v>8980.4000000000215</v>
      </c>
      <c r="C13" s="63">
        <v>5467634537906.9365</v>
      </c>
      <c r="D13" s="63">
        <v>8805078659845448</v>
      </c>
      <c r="E13" s="63">
        <v>4.029646654437412E+16</v>
      </c>
      <c r="F13" s="59">
        <v>4504</v>
      </c>
      <c r="G13" s="10">
        <v>2</v>
      </c>
      <c r="H13" s="10">
        <v>1</v>
      </c>
      <c r="I13" s="10">
        <v>1.0000000000304681</v>
      </c>
      <c r="J13" s="59">
        <f t="shared" ref="J13:J21" si="0">ABS(I13-B13)</f>
        <v>8979.3999999999905</v>
      </c>
      <c r="K13" s="17">
        <v>10</v>
      </c>
    </row>
    <row r="14" spans="1:11" x14ac:dyDescent="0.2">
      <c r="A14" s="16">
        <v>3</v>
      </c>
      <c r="B14" s="62">
        <v>8980.3600000000242</v>
      </c>
      <c r="C14" s="63">
        <v>5467770350375.6631</v>
      </c>
      <c r="D14" s="63">
        <v>8805078661431085</v>
      </c>
      <c r="E14" s="63">
        <v>4.029746748226864E+16</v>
      </c>
      <c r="F14" s="59">
        <v>4513</v>
      </c>
      <c r="G14" s="10">
        <v>2</v>
      </c>
      <c r="H14" s="10">
        <v>0.1</v>
      </c>
      <c r="I14" s="10">
        <v>1.0000000000304681</v>
      </c>
      <c r="J14" s="59">
        <f t="shared" si="0"/>
        <v>8979.3599999999933</v>
      </c>
      <c r="K14" s="17">
        <v>10</v>
      </c>
    </row>
    <row r="15" spans="1:11" x14ac:dyDescent="0.2">
      <c r="A15" s="16">
        <v>4</v>
      </c>
      <c r="B15" s="62">
        <v>8980.3660000000218</v>
      </c>
      <c r="C15" s="63">
        <v>5467749978251.7559</v>
      </c>
      <c r="D15" s="63">
        <v>8805078661477486</v>
      </c>
      <c r="E15" s="63">
        <v>4.029731733971544E+16</v>
      </c>
      <c r="F15" s="59">
        <v>4521</v>
      </c>
      <c r="G15" s="10">
        <v>2</v>
      </c>
      <c r="H15" s="10">
        <v>0.01</v>
      </c>
      <c r="I15" s="10">
        <v>1.0000000000304681</v>
      </c>
      <c r="J15" s="59">
        <f t="shared" si="0"/>
        <v>8979.3659999999909</v>
      </c>
      <c r="K15" s="17">
        <v>10</v>
      </c>
    </row>
    <row r="16" spans="1:11" x14ac:dyDescent="0.2">
      <c r="A16" s="16">
        <v>5</v>
      </c>
      <c r="B16" s="62">
        <v>8980.365800000025</v>
      </c>
      <c r="C16" s="63">
        <v>5467750657321.0908</v>
      </c>
      <c r="D16" s="63">
        <v>8805078661477541</v>
      </c>
      <c r="E16" s="63">
        <v>4.029732234445644E+16</v>
      </c>
      <c r="F16" s="59">
        <v>4529</v>
      </c>
      <c r="G16" s="10">
        <v>2</v>
      </c>
      <c r="H16" s="10">
        <v>1E-3</v>
      </c>
      <c r="I16" s="10">
        <v>1.0000000000304681</v>
      </c>
      <c r="J16" s="59">
        <f t="shared" si="0"/>
        <v>8979.3657999999941</v>
      </c>
      <c r="K16" s="17">
        <v>10</v>
      </c>
    </row>
    <row r="17" spans="1:70" x14ac:dyDescent="0.2">
      <c r="A17" s="16">
        <v>6</v>
      </c>
      <c r="B17" s="62">
        <v>8980.3660000000255</v>
      </c>
      <c r="C17" s="63">
        <v>5467749978251.7559</v>
      </c>
      <c r="D17" s="63">
        <v>8805078661477506</v>
      </c>
      <c r="E17" s="63">
        <v>4.029731733971544E+16</v>
      </c>
      <c r="F17" s="59">
        <v>4532</v>
      </c>
      <c r="G17" s="10">
        <v>2</v>
      </c>
      <c r="H17" s="10">
        <v>1E-4</v>
      </c>
      <c r="I17" s="10">
        <v>1.0000000000304681</v>
      </c>
      <c r="J17" s="59">
        <f>ABS(I17-B17)</f>
        <v>8979.3659999999945</v>
      </c>
      <c r="K17" s="17">
        <v>10</v>
      </c>
    </row>
    <row r="18" spans="1:70" x14ac:dyDescent="0.2">
      <c r="A18" s="16">
        <v>7</v>
      </c>
      <c r="B18" s="62">
        <v>8980.3659820000266</v>
      </c>
      <c r="C18" s="63">
        <v>5467750039367.9482</v>
      </c>
      <c r="D18" s="63">
        <v>8805078661477450</v>
      </c>
      <c r="E18" s="63">
        <v>4.0297317790141776E+16</v>
      </c>
      <c r="F18" s="59">
        <v>4534</v>
      </c>
      <c r="G18" s="10">
        <v>2</v>
      </c>
      <c r="H18" s="10">
        <v>1.0000000000000001E-5</v>
      </c>
      <c r="I18" s="10">
        <v>1.0000000000304681</v>
      </c>
      <c r="J18" s="59">
        <f t="shared" si="0"/>
        <v>8979.3659819999957</v>
      </c>
      <c r="K18" s="17">
        <v>10</v>
      </c>
    </row>
    <row r="19" spans="1:70" x14ac:dyDescent="0.2">
      <c r="A19" s="16">
        <v>8</v>
      </c>
      <c r="B19" s="68">
        <v>8980.3659838000276</v>
      </c>
      <c r="C19" s="69">
        <v>5467750033256.3447</v>
      </c>
      <c r="D19" s="69">
        <v>8805078661477487</v>
      </c>
      <c r="E19" s="69">
        <v>4.0297317745099264E+16</v>
      </c>
      <c r="F19" s="70">
        <v>4536</v>
      </c>
      <c r="G19" s="10">
        <v>2</v>
      </c>
      <c r="H19" s="10">
        <v>9.9999999999999995E-7</v>
      </c>
      <c r="I19" s="10">
        <v>1.0000000000304681</v>
      </c>
      <c r="J19" s="59">
        <f t="shared" si="0"/>
        <v>8979.3659837999967</v>
      </c>
      <c r="K19" s="17">
        <v>10</v>
      </c>
    </row>
    <row r="20" spans="1:70" x14ac:dyDescent="0.2">
      <c r="A20" s="16">
        <v>9</v>
      </c>
      <c r="B20" s="62">
        <v>8980.3659836000279</v>
      </c>
      <c r="C20" s="63">
        <v>5467750033935.377</v>
      </c>
      <c r="D20" s="63">
        <v>8805078661477429</v>
      </c>
      <c r="E20" s="63">
        <v>4.0297317750103728E+16</v>
      </c>
      <c r="F20" s="59">
        <v>4537</v>
      </c>
      <c r="G20" s="10">
        <v>2</v>
      </c>
      <c r="H20" s="10">
        <v>9.9999999999999995E-8</v>
      </c>
      <c r="I20" s="10">
        <v>1.0000000000304681</v>
      </c>
      <c r="J20" s="59">
        <f t="shared" si="0"/>
        <v>8979.365983599997</v>
      </c>
      <c r="K20" s="17">
        <v>10</v>
      </c>
    </row>
    <row r="21" spans="1:70" x14ac:dyDescent="0.2">
      <c r="A21" s="16">
        <v>10</v>
      </c>
      <c r="B21" s="62">
        <v>8980.3659836180268</v>
      </c>
      <c r="C21" s="63">
        <v>5467750033874.3037</v>
      </c>
      <c r="D21" s="63">
        <v>8805078661477492</v>
      </c>
      <c r="E21" s="63">
        <v>4.0297317749653616E+16</v>
      </c>
      <c r="F21" s="59">
        <v>4539</v>
      </c>
      <c r="G21" s="10">
        <v>2</v>
      </c>
      <c r="H21" s="10">
        <v>1E-8</v>
      </c>
      <c r="I21" s="10">
        <v>1.0000000000304681</v>
      </c>
      <c r="J21" s="59">
        <f t="shared" si="0"/>
        <v>8979.3659836179959</v>
      </c>
      <c r="K21" s="17">
        <v>10</v>
      </c>
    </row>
    <row r="22" spans="1:70" ht="13.5" thickBot="1" x14ac:dyDescent="0.25">
      <c r="A22" s="18">
        <v>11</v>
      </c>
      <c r="B22" s="64">
        <v>8980.365983616226</v>
      </c>
      <c r="C22" s="65">
        <v>5467750033880.4033</v>
      </c>
      <c r="D22" s="65">
        <v>8805078661477469</v>
      </c>
      <c r="E22" s="65">
        <v>4.0297317749698576E+16</v>
      </c>
      <c r="F22" s="60">
        <v>4541</v>
      </c>
      <c r="G22" s="19">
        <v>2</v>
      </c>
      <c r="H22" s="19">
        <v>1.0000000000000001E-9</v>
      </c>
      <c r="I22" s="19">
        <v>1.0000000000304681</v>
      </c>
      <c r="J22" s="60">
        <f>ABS(I22-B22)</f>
        <v>8979.3659836161951</v>
      </c>
      <c r="K22" s="20">
        <v>10</v>
      </c>
    </row>
    <row r="23" spans="1:70" ht="13.5" thickBot="1" x14ac:dyDescent="0.25"/>
    <row r="24" spans="1:70" ht="15" thickBot="1" x14ac:dyDescent="0.25">
      <c r="A24" s="55" t="s">
        <v>63</v>
      </c>
      <c r="I24" s="105">
        <v>5</v>
      </c>
      <c r="J24">
        <v>32.944285399691694</v>
      </c>
    </row>
    <row r="25" spans="1:70" ht="45.75" thickBot="1" x14ac:dyDescent="0.25">
      <c r="A25" s="80" t="s">
        <v>6</v>
      </c>
      <c r="B25" s="80" t="s">
        <v>7</v>
      </c>
      <c r="C25" s="80" t="s">
        <v>10</v>
      </c>
      <c r="D25" s="80" t="s">
        <v>8</v>
      </c>
      <c r="E25" s="80" t="s">
        <v>11</v>
      </c>
      <c r="F25" s="80" t="s">
        <v>51</v>
      </c>
      <c r="G25" s="80" t="s">
        <v>50</v>
      </c>
      <c r="H25" s="80" t="s">
        <v>15</v>
      </c>
      <c r="I25" s="80" t="s">
        <v>9</v>
      </c>
      <c r="J25" s="80" t="s">
        <v>28</v>
      </c>
      <c r="K25" s="80" t="s">
        <v>34</v>
      </c>
    </row>
    <row r="26" spans="1:70" x14ac:dyDescent="0.2">
      <c r="A26" s="13">
        <v>1</v>
      </c>
      <c r="B26" s="66">
        <v>8980.3659919680249</v>
      </c>
      <c r="C26" s="67">
        <v>5467750005523.1611</v>
      </c>
      <c r="D26" s="67">
        <v>8805078661477479</v>
      </c>
      <c r="E26" s="67">
        <v>4.0297317540705696E+16</v>
      </c>
      <c r="F26" s="24">
        <v>9033</v>
      </c>
      <c r="G26" s="14">
        <v>200</v>
      </c>
      <c r="H26" s="14">
        <v>1.0000000000000001E-9</v>
      </c>
      <c r="I26" s="14">
        <v>1.0000000000304681</v>
      </c>
      <c r="J26" s="24">
        <f t="shared" ref="J26:J59" si="1">ABS(I26-B26)</f>
        <v>8979.365991967994</v>
      </c>
      <c r="K26" s="15">
        <v>10</v>
      </c>
    </row>
    <row r="27" spans="1:70" x14ac:dyDescent="0.2">
      <c r="A27" s="16">
        <v>2</v>
      </c>
      <c r="B27" s="62">
        <v>8980.365983616226</v>
      </c>
      <c r="C27" s="63">
        <v>5467750033880.4033</v>
      </c>
      <c r="D27" s="63">
        <v>8805078661477469</v>
      </c>
      <c r="E27" s="63">
        <v>4.0297317749698576E+16</v>
      </c>
      <c r="F27" s="59">
        <v>4541</v>
      </c>
      <c r="G27" s="10">
        <f>G26+$I$24</f>
        <v>205</v>
      </c>
      <c r="H27" s="10">
        <v>1.0000000000000001E-9</v>
      </c>
      <c r="I27" s="10">
        <v>1.0000000000304681</v>
      </c>
      <c r="J27" s="59">
        <f t="shared" si="1"/>
        <v>8979.3659836161951</v>
      </c>
      <c r="K27" s="17">
        <v>10</v>
      </c>
    </row>
    <row r="28" spans="1:70" x14ac:dyDescent="0.2">
      <c r="A28" s="16">
        <v>3</v>
      </c>
      <c r="B28" s="62">
        <v>8980.3659817570369</v>
      </c>
      <c r="C28" s="63">
        <v>5467750040192.9824</v>
      </c>
      <c r="D28" s="63">
        <v>8805078661477450</v>
      </c>
      <c r="E28" s="63">
        <v>4.029731779622228E+16</v>
      </c>
      <c r="F28" s="59">
        <v>3045</v>
      </c>
      <c r="G28" s="10">
        <f t="shared" ref="G28:G59" si="2">G27+$I$24</f>
        <v>210</v>
      </c>
      <c r="H28" s="10">
        <v>1.0000000000000001E-9</v>
      </c>
      <c r="I28" s="10">
        <v>1.0000000000304681</v>
      </c>
      <c r="J28" s="59">
        <f t="shared" si="1"/>
        <v>8979.365981757006</v>
      </c>
      <c r="K28" s="17">
        <v>10</v>
      </c>
    </row>
    <row r="29" spans="1:70" x14ac:dyDescent="0.2">
      <c r="A29" s="16">
        <v>4</v>
      </c>
      <c r="B29" s="62">
        <v>8980.3657636640401</v>
      </c>
      <c r="C29" s="63">
        <v>5467750780694.3418</v>
      </c>
      <c r="D29" s="63">
        <v>8805078661477495</v>
      </c>
      <c r="E29" s="63">
        <v>4.0297323253717296E+16</v>
      </c>
      <c r="F29" s="59">
        <v>2324</v>
      </c>
      <c r="G29" s="10">
        <f t="shared" si="2"/>
        <v>215</v>
      </c>
      <c r="H29" s="10">
        <v>1.0000000000000001E-9</v>
      </c>
      <c r="I29" s="10">
        <v>1.0000000000304681</v>
      </c>
      <c r="J29" s="59">
        <f t="shared" si="1"/>
        <v>8979.3657636640091</v>
      </c>
      <c r="K29" s="17">
        <v>10</v>
      </c>
    </row>
    <row r="30" spans="1:70" x14ac:dyDescent="0.2">
      <c r="A30" s="16">
        <v>5</v>
      </c>
      <c r="B30" s="62">
        <v>8980.3659040955317</v>
      </c>
      <c r="C30" s="63">
        <v>5467750303880.7363</v>
      </c>
      <c r="D30" s="63">
        <v>8805078661477520</v>
      </c>
      <c r="E30" s="63">
        <v>4.0297319739601024E+16</v>
      </c>
      <c r="F30" s="59">
        <v>1846</v>
      </c>
      <c r="G30" s="10">
        <f t="shared" si="2"/>
        <v>220</v>
      </c>
      <c r="H30" s="10">
        <v>1.0000000000000001E-9</v>
      </c>
      <c r="I30" s="10">
        <v>1.0000000000304681</v>
      </c>
      <c r="J30" s="59">
        <f t="shared" si="1"/>
        <v>8979.3659040955008</v>
      </c>
      <c r="K30" s="17">
        <v>10</v>
      </c>
    </row>
    <row r="31" spans="1:70" x14ac:dyDescent="0.2">
      <c r="A31" s="16">
        <v>6</v>
      </c>
      <c r="B31" s="62">
        <v>8980.3658849146177</v>
      </c>
      <c r="C31" s="63">
        <v>5467750369006.5967</v>
      </c>
      <c r="D31" s="63">
        <v>8805078661477536</v>
      </c>
      <c r="E31" s="63">
        <v>4.0297320219578616E+16</v>
      </c>
      <c r="F31" s="59">
        <v>1560</v>
      </c>
      <c r="G31" s="10">
        <f t="shared" si="2"/>
        <v>225</v>
      </c>
      <c r="H31" s="10">
        <v>1.0000000000000001E-9</v>
      </c>
      <c r="I31" s="10">
        <v>1.0000000000304681</v>
      </c>
      <c r="J31" s="59">
        <f t="shared" si="1"/>
        <v>8979.3658849145868</v>
      </c>
      <c r="K31" s="17">
        <v>10</v>
      </c>
    </row>
    <row r="32" spans="1:70" x14ac:dyDescent="0.2">
      <c r="A32" s="16">
        <v>7</v>
      </c>
      <c r="B32" s="62">
        <v>8980.3660874274319</v>
      </c>
      <c r="C32" s="63">
        <v>5467749681405.4121</v>
      </c>
      <c r="D32" s="63">
        <v>8805078661477421</v>
      </c>
      <c r="E32" s="63">
        <v>4.0297315151957888E+16</v>
      </c>
      <c r="F32" s="59">
        <v>1338</v>
      </c>
      <c r="G32" s="10">
        <f t="shared" si="2"/>
        <v>230</v>
      </c>
      <c r="H32" s="10">
        <v>1.0000000000000001E-9</v>
      </c>
      <c r="I32" s="10">
        <v>1.0000000000304681</v>
      </c>
      <c r="J32" s="59">
        <f t="shared" si="1"/>
        <v>8979.366087427401</v>
      </c>
      <c r="K32" s="17">
        <v>10</v>
      </c>
      <c r="BR32">
        <v>9033</v>
      </c>
    </row>
    <row r="33" spans="1:71" x14ac:dyDescent="0.2">
      <c r="A33" s="16">
        <v>8</v>
      </c>
      <c r="B33" s="62">
        <v>8980.3658632664392</v>
      </c>
      <c r="C33" s="63">
        <v>5467750442509.6797</v>
      </c>
      <c r="D33" s="63">
        <v>8805078661477555</v>
      </c>
      <c r="E33" s="63">
        <v>4.0297320761296336E+16</v>
      </c>
      <c r="F33" s="59">
        <v>1178</v>
      </c>
      <c r="G33" s="10">
        <f t="shared" si="2"/>
        <v>235</v>
      </c>
      <c r="H33" s="10">
        <v>1.0000000000000001E-9</v>
      </c>
      <c r="I33" s="10">
        <v>1.0000000000304681</v>
      </c>
      <c r="J33" s="59">
        <f t="shared" si="1"/>
        <v>8979.3658632664083</v>
      </c>
      <c r="K33" s="17">
        <v>10</v>
      </c>
      <c r="BR33">
        <v>4541</v>
      </c>
      <c r="BS33">
        <f>100-(BR33*100/BR32)</f>
        <v>49.728772279419907</v>
      </c>
    </row>
    <row r="34" spans="1:71" x14ac:dyDescent="0.2">
      <c r="A34" s="16">
        <v>9</v>
      </c>
      <c r="B34" s="62">
        <v>8980.3658971819277</v>
      </c>
      <c r="C34" s="63">
        <v>5467750327354.7969</v>
      </c>
      <c r="D34" s="63">
        <v>8805078661477486</v>
      </c>
      <c r="E34" s="63">
        <v>4.0297319912604856E+16</v>
      </c>
      <c r="F34" s="59">
        <v>1067</v>
      </c>
      <c r="G34" s="10">
        <f t="shared" si="2"/>
        <v>240</v>
      </c>
      <c r="H34" s="10">
        <v>1.0000000000000001E-9</v>
      </c>
      <c r="I34" s="10">
        <v>1.0000000000304681</v>
      </c>
      <c r="J34" s="59">
        <f t="shared" si="1"/>
        <v>8979.3658971818968</v>
      </c>
      <c r="K34" s="17">
        <v>10</v>
      </c>
      <c r="BR34">
        <v>3045</v>
      </c>
      <c r="BS34">
        <f t="shared" ref="BS34:BS65" si="3">100-(BR34*100/BR33)</f>
        <v>32.944285399691694</v>
      </c>
    </row>
    <row r="35" spans="1:71" x14ac:dyDescent="0.2">
      <c r="A35" s="16">
        <v>10</v>
      </c>
      <c r="B35" s="62">
        <v>8980.3655061800437</v>
      </c>
      <c r="C35" s="63">
        <v>5467751654941.9805</v>
      </c>
      <c r="D35" s="63">
        <v>8805078661477414</v>
      </c>
      <c r="E35" s="63">
        <v>4.02973296969224E+16</v>
      </c>
      <c r="F35" s="59">
        <v>971</v>
      </c>
      <c r="G35" s="10">
        <f t="shared" si="2"/>
        <v>245</v>
      </c>
      <c r="H35" s="10">
        <v>1.0000000000000001E-9</v>
      </c>
      <c r="I35" s="10">
        <v>1.0000000000304681</v>
      </c>
      <c r="J35" s="59">
        <f t="shared" si="1"/>
        <v>8979.3655061800127</v>
      </c>
      <c r="K35" s="17">
        <v>10</v>
      </c>
      <c r="BR35">
        <v>2324</v>
      </c>
      <c r="BS35">
        <f>100-(BR35*100/BR34)</f>
        <v>23.678160919540232</v>
      </c>
    </row>
    <row r="36" spans="1:71" x14ac:dyDescent="0.2">
      <c r="A36" s="16">
        <v>11</v>
      </c>
      <c r="B36" s="62">
        <v>8980.3658218777891</v>
      </c>
      <c r="C36" s="63">
        <v>5467750583038.5039</v>
      </c>
      <c r="D36" s="63">
        <v>8805078661477561</v>
      </c>
      <c r="E36" s="63">
        <v>4.0297321796993776E+16</v>
      </c>
      <c r="F36" s="59">
        <v>889</v>
      </c>
      <c r="G36" s="10">
        <f t="shared" si="2"/>
        <v>250</v>
      </c>
      <c r="H36" s="10">
        <v>1.0000000000000001E-9</v>
      </c>
      <c r="I36" s="10">
        <v>1.0000000000304681</v>
      </c>
      <c r="J36" s="59">
        <f t="shared" si="1"/>
        <v>8979.3658218777582</v>
      </c>
      <c r="K36" s="17">
        <v>10</v>
      </c>
      <c r="BR36">
        <v>1846</v>
      </c>
      <c r="BS36">
        <f t="shared" si="3"/>
        <v>20.567986230636834</v>
      </c>
    </row>
    <row r="37" spans="1:71" x14ac:dyDescent="0.2">
      <c r="A37" s="16">
        <v>12</v>
      </c>
      <c r="B37" s="62">
        <v>8980.3656148744321</v>
      </c>
      <c r="C37" s="63">
        <v>5467751285886.7617</v>
      </c>
      <c r="D37" s="63">
        <v>8805078661477502</v>
      </c>
      <c r="E37" s="63">
        <v>4.0297326976985432E+16</v>
      </c>
      <c r="F37" s="59">
        <v>823</v>
      </c>
      <c r="G37" s="10">
        <f t="shared" si="2"/>
        <v>255</v>
      </c>
      <c r="H37" s="10">
        <v>1.0000000000000001E-9</v>
      </c>
      <c r="I37" s="10">
        <v>1.0000000000304681</v>
      </c>
      <c r="J37" s="59">
        <f t="shared" si="1"/>
        <v>8979.3656148744012</v>
      </c>
      <c r="K37" s="17">
        <v>10</v>
      </c>
      <c r="BR37">
        <v>1560</v>
      </c>
      <c r="BS37">
        <f t="shared" si="3"/>
        <v>15.492957746478879</v>
      </c>
    </row>
    <row r="38" spans="1:71" x14ac:dyDescent="0.2">
      <c r="A38" s="16">
        <v>13</v>
      </c>
      <c r="B38" s="62">
        <v>8980.3656019496175</v>
      </c>
      <c r="C38" s="63">
        <v>5467751329770.9697</v>
      </c>
      <c r="D38" s="63">
        <v>8805078661477449</v>
      </c>
      <c r="E38" s="63">
        <v>4.0297327300412048E+16</v>
      </c>
      <c r="F38" s="59">
        <v>759</v>
      </c>
      <c r="G38" s="10">
        <f t="shared" si="2"/>
        <v>260</v>
      </c>
      <c r="H38" s="10">
        <v>1.0000000000000001E-9</v>
      </c>
      <c r="I38" s="10">
        <v>1.0000000000304681</v>
      </c>
      <c r="J38" s="59">
        <f t="shared" si="1"/>
        <v>8979.3656019495866</v>
      </c>
      <c r="K38" s="17">
        <v>10</v>
      </c>
      <c r="BR38">
        <v>1338</v>
      </c>
      <c r="BS38">
        <f t="shared" si="3"/>
        <v>14.230769230769226</v>
      </c>
    </row>
    <row r="39" spans="1:71" x14ac:dyDescent="0.2">
      <c r="A39" s="16">
        <v>14</v>
      </c>
      <c r="B39" s="62">
        <v>8980.3656655806808</v>
      </c>
      <c r="C39" s="63">
        <v>5467751113721.4385</v>
      </c>
      <c r="D39" s="63">
        <v>8805078661477533</v>
      </c>
      <c r="E39" s="63">
        <v>4.0297325708127E+16</v>
      </c>
      <c r="F39" s="59">
        <v>707</v>
      </c>
      <c r="G39" s="10">
        <f t="shared" si="2"/>
        <v>265</v>
      </c>
      <c r="H39" s="10">
        <v>1.0000000000000001E-9</v>
      </c>
      <c r="I39" s="10">
        <v>1.0000000000304681</v>
      </c>
      <c r="J39" s="59">
        <f t="shared" si="1"/>
        <v>8979.3656655806499</v>
      </c>
      <c r="K39" s="17">
        <v>10</v>
      </c>
      <c r="BR39">
        <v>1178</v>
      </c>
      <c r="BS39">
        <f t="shared" si="3"/>
        <v>11.958146487294471</v>
      </c>
    </row>
    <row r="40" spans="1:71" x14ac:dyDescent="0.2">
      <c r="A40" s="16">
        <v>15</v>
      </c>
      <c r="B40" s="62">
        <v>8980.3655787713942</v>
      </c>
      <c r="C40" s="63">
        <v>5467751408469.1045</v>
      </c>
      <c r="D40" s="63">
        <v>8805078661477455</v>
      </c>
      <c r="E40" s="63">
        <v>4.0297327880417304E+16</v>
      </c>
      <c r="F40" s="59">
        <v>683</v>
      </c>
      <c r="G40" s="10">
        <f t="shared" si="2"/>
        <v>270</v>
      </c>
      <c r="H40" s="10">
        <v>1.0000000000000001E-9</v>
      </c>
      <c r="I40" s="10">
        <v>1.0000000000304681</v>
      </c>
      <c r="J40" s="59">
        <f t="shared" si="1"/>
        <v>8979.3655787713633</v>
      </c>
      <c r="K40" s="17">
        <v>10</v>
      </c>
      <c r="BR40">
        <v>1067</v>
      </c>
      <c r="BS40">
        <f t="shared" si="3"/>
        <v>9.4227504244482105</v>
      </c>
    </row>
    <row r="41" spans="1:71" x14ac:dyDescent="0.2">
      <c r="A41" s="16">
        <v>16</v>
      </c>
      <c r="B41" s="62">
        <v>8980.3655671670713</v>
      </c>
      <c r="C41" s="63">
        <v>5467751447869.8252</v>
      </c>
      <c r="D41" s="63">
        <v>8805078661477466</v>
      </c>
      <c r="E41" s="63">
        <v>4.0297328170800608E+16</v>
      </c>
      <c r="F41" s="59">
        <v>658</v>
      </c>
      <c r="G41" s="10">
        <f t="shared" si="2"/>
        <v>275</v>
      </c>
      <c r="H41" s="10">
        <v>1.0000000000000001E-9</v>
      </c>
      <c r="I41" s="10">
        <v>1.0000000000304681</v>
      </c>
      <c r="J41" s="59">
        <f t="shared" si="1"/>
        <v>8979.3655671670404</v>
      </c>
      <c r="K41" s="17">
        <v>10</v>
      </c>
      <c r="BR41">
        <v>971</v>
      </c>
      <c r="BS41">
        <f t="shared" si="3"/>
        <v>8.9971883786316766</v>
      </c>
    </row>
    <row r="42" spans="1:71" x14ac:dyDescent="0.2">
      <c r="A42" s="16">
        <v>17</v>
      </c>
      <c r="B42" s="62">
        <v>8980.365522762273</v>
      </c>
      <c r="C42" s="63">
        <v>5467751598639.5674</v>
      </c>
      <c r="D42" s="63">
        <v>8805078661477461</v>
      </c>
      <c r="E42" s="63">
        <v>4.0297329281973608E+16</v>
      </c>
      <c r="F42" s="59">
        <v>598</v>
      </c>
      <c r="G42" s="10">
        <f t="shared" si="2"/>
        <v>280</v>
      </c>
      <c r="H42" s="10">
        <v>1.0000000000000001E-9</v>
      </c>
      <c r="I42" s="10">
        <v>1.0000000000304681</v>
      </c>
      <c r="J42" s="59">
        <f t="shared" si="1"/>
        <v>8979.3655227622421</v>
      </c>
      <c r="K42" s="17">
        <v>10</v>
      </c>
      <c r="BR42">
        <v>889</v>
      </c>
      <c r="BS42">
        <f t="shared" si="3"/>
        <v>8.4449021627188472</v>
      </c>
    </row>
    <row r="43" spans="1:71" x14ac:dyDescent="0.2">
      <c r="A43" s="16">
        <v>18</v>
      </c>
      <c r="B43" s="62">
        <v>8980.3655547056751</v>
      </c>
      <c r="C43" s="63">
        <v>5467751490180.6191</v>
      </c>
      <c r="D43" s="63">
        <v>8805078661477494</v>
      </c>
      <c r="E43" s="63">
        <v>4.029732848263116E+16</v>
      </c>
      <c r="F43" s="59">
        <v>559</v>
      </c>
      <c r="G43" s="10">
        <f t="shared" si="2"/>
        <v>285</v>
      </c>
      <c r="H43" s="10">
        <v>1.0000000000000001E-9</v>
      </c>
      <c r="I43" s="10">
        <v>1.0000000000304681</v>
      </c>
      <c r="J43" s="59">
        <f t="shared" si="1"/>
        <v>8979.3655547056442</v>
      </c>
      <c r="K43" s="17">
        <v>10</v>
      </c>
      <c r="BR43">
        <v>823</v>
      </c>
      <c r="BS43">
        <f t="shared" si="3"/>
        <v>7.4240719910011279</v>
      </c>
    </row>
    <row r="44" spans="1:71" x14ac:dyDescent="0.2">
      <c r="A44" s="16">
        <v>19</v>
      </c>
      <c r="B44" s="62">
        <v>8980.3656217490679</v>
      </c>
      <c r="C44" s="63">
        <v>5467751262544.9834</v>
      </c>
      <c r="D44" s="63">
        <v>8805078661477503</v>
      </c>
      <c r="E44" s="63">
        <v>4.0297326804956528E+16</v>
      </c>
      <c r="F44" s="59">
        <v>564</v>
      </c>
      <c r="G44" s="10">
        <f t="shared" si="2"/>
        <v>290</v>
      </c>
      <c r="H44" s="10">
        <v>1.0000000000000001E-9</v>
      </c>
      <c r="I44" s="10">
        <v>1.0000000000304681</v>
      </c>
      <c r="J44" s="59">
        <f t="shared" si="1"/>
        <v>8979.365621749037</v>
      </c>
      <c r="K44" s="17">
        <v>10</v>
      </c>
      <c r="BR44">
        <v>759</v>
      </c>
      <c r="BS44">
        <f t="shared" si="3"/>
        <v>7.7764277035236944</v>
      </c>
    </row>
    <row r="45" spans="1:71" x14ac:dyDescent="0.2">
      <c r="A45" s="16">
        <v>20</v>
      </c>
      <c r="B45" s="62">
        <v>8980.3656361420308</v>
      </c>
      <c r="C45" s="63">
        <v>5467751213675.8428</v>
      </c>
      <c r="D45" s="63">
        <v>8805078661477459</v>
      </c>
      <c r="E45" s="63">
        <v>4.029732644479096E+16</v>
      </c>
      <c r="F45" s="59">
        <v>517</v>
      </c>
      <c r="G45" s="10">
        <f t="shared" si="2"/>
        <v>295</v>
      </c>
      <c r="H45" s="10">
        <v>1.0000000000000001E-9</v>
      </c>
      <c r="I45" s="10">
        <v>1.0000000000304681</v>
      </c>
      <c r="J45" s="59">
        <f t="shared" si="1"/>
        <v>8979.3656361419999</v>
      </c>
      <c r="K45" s="17">
        <v>10</v>
      </c>
      <c r="BR45">
        <v>707</v>
      </c>
      <c r="BS45">
        <f t="shared" si="3"/>
        <v>6.8511198945981562</v>
      </c>
    </row>
    <row r="46" spans="1:71" x14ac:dyDescent="0.2">
      <c r="A46" s="16">
        <v>21</v>
      </c>
      <c r="B46" s="62">
        <v>8980.3654409008977</v>
      </c>
      <c r="C46" s="63">
        <v>5467751876587.3965</v>
      </c>
      <c r="D46" s="63">
        <v>8805078661477374</v>
      </c>
      <c r="E46" s="63">
        <v>4.0297331330449112E+16</v>
      </c>
      <c r="F46" s="59">
        <v>493</v>
      </c>
      <c r="G46" s="10">
        <f t="shared" si="2"/>
        <v>300</v>
      </c>
      <c r="H46" s="10">
        <v>1.0000000000000001E-9</v>
      </c>
      <c r="I46" s="10">
        <v>1.0000000000304681</v>
      </c>
      <c r="J46" s="59">
        <f t="shared" si="1"/>
        <v>8979.3654409008668</v>
      </c>
      <c r="K46" s="17">
        <v>10</v>
      </c>
      <c r="BR46">
        <v>683</v>
      </c>
      <c r="BS46">
        <f t="shared" si="3"/>
        <v>3.3946251768034017</v>
      </c>
    </row>
    <row r="47" spans="1:71" x14ac:dyDescent="0.2">
      <c r="A47" s="16">
        <v>22</v>
      </c>
      <c r="B47" s="62">
        <v>8980.365624202399</v>
      </c>
      <c r="C47" s="63">
        <v>5467751254215.0811</v>
      </c>
      <c r="D47" s="63">
        <v>8805078661477519</v>
      </c>
      <c r="E47" s="63">
        <v>4.0297326743565144E+16</v>
      </c>
      <c r="F47" s="59">
        <v>467</v>
      </c>
      <c r="G47" s="10">
        <f t="shared" si="2"/>
        <v>305</v>
      </c>
      <c r="H47" s="10">
        <v>1.0000000000000001E-9</v>
      </c>
      <c r="I47" s="10">
        <v>1.0000000000304681</v>
      </c>
      <c r="J47" s="59">
        <f t="shared" si="1"/>
        <v>8979.3656242023681</v>
      </c>
      <c r="K47" s="17">
        <v>10</v>
      </c>
      <c r="BR47">
        <v>658</v>
      </c>
      <c r="BS47">
        <f t="shared" si="3"/>
        <v>3.6603221083455395</v>
      </c>
    </row>
    <row r="48" spans="1:71" x14ac:dyDescent="0.2">
      <c r="A48" s="16">
        <v>23</v>
      </c>
      <c r="B48" s="62">
        <v>8980.3656185631207</v>
      </c>
      <c r="C48" s="63">
        <v>5467751273362.3818</v>
      </c>
      <c r="D48" s="63">
        <v>8805078661477503</v>
      </c>
      <c r="E48" s="63">
        <v>4.0297326884680752E+16</v>
      </c>
      <c r="F48" s="59">
        <v>456</v>
      </c>
      <c r="G48" s="10">
        <f t="shared" si="2"/>
        <v>310</v>
      </c>
      <c r="H48" s="10">
        <v>1.0000000000000001E-9</v>
      </c>
      <c r="I48" s="10">
        <v>1.0000000000304681</v>
      </c>
      <c r="J48" s="59">
        <f t="shared" si="1"/>
        <v>8979.3656185630898</v>
      </c>
      <c r="K48" s="17">
        <v>10</v>
      </c>
      <c r="BR48">
        <v>598</v>
      </c>
      <c r="BS48">
        <f t="shared" si="3"/>
        <v>9.1185410334346528</v>
      </c>
    </row>
    <row r="49" spans="1:71" x14ac:dyDescent="0.2">
      <c r="A49" s="16">
        <v>24</v>
      </c>
      <c r="B49" s="62">
        <v>8980.365590063233</v>
      </c>
      <c r="C49" s="63">
        <v>5467751370129.3975</v>
      </c>
      <c r="D49" s="63">
        <v>8805078661477478</v>
      </c>
      <c r="E49" s="63">
        <v>4.0297327597853656E+16</v>
      </c>
      <c r="F49" s="59">
        <v>441</v>
      </c>
      <c r="G49" s="10">
        <f t="shared" si="2"/>
        <v>315</v>
      </c>
      <c r="H49" s="10">
        <v>1.0000000000000001E-9</v>
      </c>
      <c r="I49" s="10">
        <v>1.0000000000304681</v>
      </c>
      <c r="J49" s="59">
        <f t="shared" si="1"/>
        <v>8979.365590063202</v>
      </c>
      <c r="K49" s="17">
        <v>10</v>
      </c>
      <c r="BR49">
        <v>559</v>
      </c>
      <c r="BS49">
        <f t="shared" si="3"/>
        <v>6.5217391304347814</v>
      </c>
    </row>
    <row r="50" spans="1:71" x14ac:dyDescent="0.2">
      <c r="A50" s="16">
        <v>25</v>
      </c>
      <c r="B50" s="62">
        <v>8980.3655154547796</v>
      </c>
      <c r="C50" s="63">
        <v>5467751623451.0313</v>
      </c>
      <c r="D50" s="63">
        <v>8805078661477428</v>
      </c>
      <c r="E50" s="63">
        <v>4.0297329464834104E+16</v>
      </c>
      <c r="F50" s="59">
        <v>421</v>
      </c>
      <c r="G50" s="10">
        <f t="shared" si="2"/>
        <v>320</v>
      </c>
      <c r="H50" s="10">
        <v>1.0000000000000001E-9</v>
      </c>
      <c r="I50" s="10">
        <v>1.0000000000304681</v>
      </c>
      <c r="J50" s="59">
        <f t="shared" si="1"/>
        <v>8979.3655154547487</v>
      </c>
      <c r="K50" s="17">
        <v>10</v>
      </c>
      <c r="BR50">
        <v>564</v>
      </c>
      <c r="BS50">
        <f t="shared" si="3"/>
        <v>-0.89445438282648126</v>
      </c>
    </row>
    <row r="51" spans="1:71" x14ac:dyDescent="0.2">
      <c r="A51" s="16">
        <v>26</v>
      </c>
      <c r="B51" s="62">
        <v>8980.3655072776401</v>
      </c>
      <c r="C51" s="63">
        <v>5467751651215.2646</v>
      </c>
      <c r="D51" s="63">
        <v>8805078661477424</v>
      </c>
      <c r="E51" s="63">
        <v>4.0297329669456504E+16</v>
      </c>
      <c r="F51" s="59">
        <v>408</v>
      </c>
      <c r="G51" s="10">
        <f t="shared" si="2"/>
        <v>325</v>
      </c>
      <c r="H51" s="10">
        <v>1.0000000000000001E-9</v>
      </c>
      <c r="I51" s="10">
        <v>1.0000000000304681</v>
      </c>
      <c r="J51" s="59">
        <f t="shared" si="1"/>
        <v>8979.3655072776091</v>
      </c>
      <c r="K51" s="17">
        <v>10</v>
      </c>
      <c r="BR51">
        <v>517</v>
      </c>
      <c r="BS51">
        <f t="shared" si="3"/>
        <v>8.3333333333333286</v>
      </c>
    </row>
    <row r="52" spans="1:71" x14ac:dyDescent="0.2">
      <c r="A52" s="16">
        <v>27</v>
      </c>
      <c r="B52" s="62">
        <v>8980.3654788178992</v>
      </c>
      <c r="C52" s="63">
        <v>5467751747846</v>
      </c>
      <c r="D52" s="63">
        <v>8805078661477429</v>
      </c>
      <c r="E52" s="63">
        <v>4.0297330381625024E+16</v>
      </c>
      <c r="F52" s="59">
        <v>403</v>
      </c>
      <c r="G52" s="10">
        <f t="shared" si="2"/>
        <v>330</v>
      </c>
      <c r="H52" s="10">
        <v>1.0000000000000001E-9</v>
      </c>
      <c r="I52" s="10">
        <v>1.0000000000304681</v>
      </c>
      <c r="J52" s="59">
        <f t="shared" si="1"/>
        <v>8979.3654788178683</v>
      </c>
      <c r="K52" s="17">
        <v>10</v>
      </c>
      <c r="BR52">
        <v>493</v>
      </c>
      <c r="BS52">
        <f t="shared" si="3"/>
        <v>4.6421663442939973</v>
      </c>
    </row>
    <row r="53" spans="1:71" x14ac:dyDescent="0.2">
      <c r="A53" s="16">
        <v>28</v>
      </c>
      <c r="B53" s="62">
        <v>8980.3656909062884</v>
      </c>
      <c r="C53" s="63">
        <v>5467751027732.1943</v>
      </c>
      <c r="D53" s="63">
        <v>8805078661477523</v>
      </c>
      <c r="E53" s="63">
        <v>4.0297325074386272E+16</v>
      </c>
      <c r="F53" s="59">
        <v>380</v>
      </c>
      <c r="G53" s="10">
        <f t="shared" si="2"/>
        <v>335</v>
      </c>
      <c r="H53" s="10">
        <v>1.0000000000000001E-9</v>
      </c>
      <c r="I53" s="10">
        <v>1.0000000000304681</v>
      </c>
      <c r="J53" s="59">
        <f t="shared" si="1"/>
        <v>8979.3656909062574</v>
      </c>
      <c r="K53" s="17">
        <v>10</v>
      </c>
      <c r="BR53">
        <v>467</v>
      </c>
      <c r="BS53">
        <f t="shared" si="3"/>
        <v>5.2738336713996006</v>
      </c>
    </row>
    <row r="54" spans="1:71" x14ac:dyDescent="0.2">
      <c r="A54" s="16">
        <v>29</v>
      </c>
      <c r="B54" s="62">
        <v>8980.3654888278379</v>
      </c>
      <c r="C54" s="63">
        <v>5467751713858.7363</v>
      </c>
      <c r="D54" s="63">
        <v>8805078661477372</v>
      </c>
      <c r="E54" s="63">
        <v>4.0297330131138888E+16</v>
      </c>
      <c r="F54" s="59">
        <v>385</v>
      </c>
      <c r="G54" s="10">
        <f t="shared" si="2"/>
        <v>340</v>
      </c>
      <c r="H54" s="10">
        <v>1.0000000000000001E-9</v>
      </c>
      <c r="I54" s="10">
        <v>1.0000000000304681</v>
      </c>
      <c r="J54" s="59">
        <f t="shared" si="1"/>
        <v>8979.365488827807</v>
      </c>
      <c r="K54" s="17">
        <v>10</v>
      </c>
      <c r="BR54">
        <v>456</v>
      </c>
      <c r="BS54">
        <f t="shared" si="3"/>
        <v>2.355460385438974</v>
      </c>
    </row>
    <row r="55" spans="1:71" x14ac:dyDescent="0.2">
      <c r="A55" s="16">
        <v>30</v>
      </c>
      <c r="B55" s="62">
        <v>8980.3654575247238</v>
      </c>
      <c r="C55" s="63">
        <v>5467751820143.7197</v>
      </c>
      <c r="D55" s="63">
        <v>8805078661477382</v>
      </c>
      <c r="E55" s="63">
        <v>4.0297330914459216E+16</v>
      </c>
      <c r="F55" s="59">
        <v>368</v>
      </c>
      <c r="G55" s="10">
        <f t="shared" si="2"/>
        <v>345</v>
      </c>
      <c r="H55" s="10">
        <v>1.0000000000000001E-9</v>
      </c>
      <c r="I55" s="10">
        <v>1.0000000000304681</v>
      </c>
      <c r="J55" s="59">
        <f t="shared" si="1"/>
        <v>8979.3654575246928</v>
      </c>
      <c r="K55" s="17">
        <v>10</v>
      </c>
      <c r="BR55">
        <v>441</v>
      </c>
      <c r="BS55">
        <f t="shared" si="3"/>
        <v>3.2894736842105203</v>
      </c>
    </row>
    <row r="56" spans="1:71" x14ac:dyDescent="0.2">
      <c r="A56" s="16">
        <v>31</v>
      </c>
      <c r="B56" s="62">
        <v>8980.3656241639055</v>
      </c>
      <c r="C56" s="63">
        <v>5467751254345.7744</v>
      </c>
      <c r="D56" s="63">
        <v>8805078661477510</v>
      </c>
      <c r="E56" s="63">
        <v>4.029732674452836E+16</v>
      </c>
      <c r="F56" s="59">
        <v>369</v>
      </c>
      <c r="G56" s="10">
        <f t="shared" si="2"/>
        <v>350</v>
      </c>
      <c r="H56" s="10">
        <v>1.0000000000000001E-9</v>
      </c>
      <c r="I56" s="10">
        <v>1.0000000000304681</v>
      </c>
      <c r="J56" s="59">
        <f t="shared" si="1"/>
        <v>8979.3656241638746</v>
      </c>
      <c r="K56" s="17">
        <v>10</v>
      </c>
      <c r="BR56">
        <v>421</v>
      </c>
      <c r="BS56">
        <f t="shared" si="3"/>
        <v>4.5351473922902557</v>
      </c>
    </row>
    <row r="57" spans="1:71" x14ac:dyDescent="0.2">
      <c r="A57" s="16">
        <v>32</v>
      </c>
      <c r="B57" s="62">
        <v>8980.3656296969875</v>
      </c>
      <c r="C57" s="63">
        <v>5467751235559.0479</v>
      </c>
      <c r="D57" s="63">
        <v>8805078661477528</v>
      </c>
      <c r="E57" s="63">
        <v>4.0297326606070184E+16</v>
      </c>
      <c r="F57" s="59">
        <v>371</v>
      </c>
      <c r="G57" s="10">
        <f t="shared" si="2"/>
        <v>355</v>
      </c>
      <c r="H57" s="10">
        <v>1.0000000000000001E-9</v>
      </c>
      <c r="I57" s="10">
        <v>1.0000000000304681</v>
      </c>
      <c r="J57" s="59">
        <f t="shared" si="1"/>
        <v>8979.3656296969566</v>
      </c>
      <c r="K57" s="17">
        <v>10</v>
      </c>
      <c r="BR57">
        <v>408</v>
      </c>
      <c r="BS57">
        <f t="shared" si="3"/>
        <v>3.0878859857482155</v>
      </c>
    </row>
    <row r="58" spans="1:71" x14ac:dyDescent="0.2">
      <c r="A58" s="16">
        <v>33</v>
      </c>
      <c r="B58" s="62">
        <v>8980.3657663036065</v>
      </c>
      <c r="C58" s="63">
        <v>5467750771732.1445</v>
      </c>
      <c r="D58" s="63">
        <v>8805078661477571</v>
      </c>
      <c r="E58" s="63">
        <v>4.0297323187665904E+16</v>
      </c>
      <c r="F58" s="59">
        <v>337</v>
      </c>
      <c r="G58" s="10">
        <f t="shared" si="2"/>
        <v>360</v>
      </c>
      <c r="H58" s="10">
        <v>1.0000000000000001E-9</v>
      </c>
      <c r="I58" s="10">
        <v>1.0000000000304681</v>
      </c>
      <c r="J58" s="59">
        <f t="shared" si="1"/>
        <v>8979.3657663035756</v>
      </c>
      <c r="K58" s="17">
        <v>10</v>
      </c>
      <c r="BR58">
        <v>403</v>
      </c>
      <c r="BS58">
        <f t="shared" si="3"/>
        <v>1.2254901960784252</v>
      </c>
    </row>
    <row r="59" spans="1:71" ht="13.5" thickBot="1" x14ac:dyDescent="0.25">
      <c r="A59" s="18">
        <v>34</v>
      </c>
      <c r="B59" s="64">
        <v>8980.3654192320882</v>
      </c>
      <c r="C59" s="65">
        <v>5467751950160.5469</v>
      </c>
      <c r="D59" s="65">
        <v>8805078661477357</v>
      </c>
      <c r="E59" s="65">
        <v>4.0297331872683232E+16</v>
      </c>
      <c r="F59" s="60">
        <v>336</v>
      </c>
      <c r="G59" s="19">
        <f t="shared" si="2"/>
        <v>365</v>
      </c>
      <c r="H59" s="19">
        <v>1.0000000000000001E-9</v>
      </c>
      <c r="I59" s="19">
        <v>1.0000000000304681</v>
      </c>
      <c r="J59" s="60">
        <f t="shared" si="1"/>
        <v>8979.3654192320573</v>
      </c>
      <c r="K59" s="20">
        <v>10</v>
      </c>
      <c r="BR59">
        <v>380</v>
      </c>
      <c r="BS59">
        <f t="shared" si="3"/>
        <v>5.707196029776668</v>
      </c>
    </row>
    <row r="60" spans="1:71" ht="13.5" thickBot="1" x14ac:dyDescent="0.25">
      <c r="BR60">
        <v>385</v>
      </c>
      <c r="BS60">
        <f t="shared" si="3"/>
        <v>-1.3157894736842053</v>
      </c>
    </row>
    <row r="61" spans="1:71" ht="13.5" thickBot="1" x14ac:dyDescent="0.25">
      <c r="A61" s="55" t="s">
        <v>62</v>
      </c>
      <c r="I61" s="105">
        <v>299.31219245728278</v>
      </c>
      <c r="BR61">
        <v>368</v>
      </c>
      <c r="BS61">
        <f t="shared" si="3"/>
        <v>4.4155844155844193</v>
      </c>
    </row>
    <row r="62" spans="1:71" ht="45.75" thickBot="1" x14ac:dyDescent="0.25">
      <c r="A62" s="56" t="s">
        <v>6</v>
      </c>
      <c r="B62" s="57" t="s">
        <v>7</v>
      </c>
      <c r="C62" s="57" t="s">
        <v>10</v>
      </c>
      <c r="D62" s="57" t="s">
        <v>8</v>
      </c>
      <c r="E62" s="57" t="s">
        <v>11</v>
      </c>
      <c r="F62" s="57" t="s">
        <v>51</v>
      </c>
      <c r="G62" s="57" t="s">
        <v>50</v>
      </c>
      <c r="H62" s="57" t="s">
        <v>15</v>
      </c>
      <c r="I62" s="57" t="s">
        <v>9</v>
      </c>
      <c r="J62" s="57" t="s">
        <v>28</v>
      </c>
      <c r="K62" s="58" t="s">
        <v>34</v>
      </c>
      <c r="BR62">
        <v>369</v>
      </c>
      <c r="BS62">
        <f t="shared" si="3"/>
        <v>-0.27173913043478137</v>
      </c>
    </row>
    <row r="63" spans="1:71" x14ac:dyDescent="0.2">
      <c r="A63" s="13">
        <v>1</v>
      </c>
      <c r="B63" s="66">
        <v>8980.365983616226</v>
      </c>
      <c r="C63" s="67">
        <v>5467750033880.4033</v>
      </c>
      <c r="D63" s="67">
        <v>8805078661477469</v>
      </c>
      <c r="E63" s="67">
        <v>4.0297317749698576E+16</v>
      </c>
      <c r="F63" s="24">
        <v>4541</v>
      </c>
      <c r="G63" s="14">
        <v>2</v>
      </c>
      <c r="H63" s="14">
        <v>1.0000000000000001E-9</v>
      </c>
      <c r="I63" s="106">
        <f t="shared" ref="I63:I92" si="4">I64-$I$61</f>
        <v>1.0000000000304681</v>
      </c>
      <c r="J63" s="24">
        <f>ABS(I63-$B$85)</f>
        <v>8979.3659950784204</v>
      </c>
      <c r="K63" s="15">
        <v>10</v>
      </c>
      <c r="BR63">
        <v>371</v>
      </c>
      <c r="BS63">
        <f t="shared" si="3"/>
        <v>-0.5420054200541955</v>
      </c>
    </row>
    <row r="64" spans="1:71" x14ac:dyDescent="0.2">
      <c r="A64" s="16">
        <v>2</v>
      </c>
      <c r="B64" s="62">
        <v>8980.3659738613042</v>
      </c>
      <c r="C64" s="63">
        <v>5467750067001.7139</v>
      </c>
      <c r="D64" s="63">
        <v>8805078661477426</v>
      </c>
      <c r="E64" s="63">
        <v>4.0297317993802632E+16</v>
      </c>
      <c r="F64" s="59">
        <v>4403</v>
      </c>
      <c r="G64" s="10">
        <v>2</v>
      </c>
      <c r="H64" s="10">
        <v>1.0000000000000001E-9</v>
      </c>
      <c r="I64" s="107">
        <f t="shared" si="4"/>
        <v>300.31219245731324</v>
      </c>
      <c r="J64" s="59">
        <f>ABS(I64-$B$85)</f>
        <v>8680.0538026211379</v>
      </c>
      <c r="K64" s="17">
        <v>10</v>
      </c>
      <c r="BR64">
        <v>337</v>
      </c>
      <c r="BS64">
        <f t="shared" si="3"/>
        <v>9.1644204851751994</v>
      </c>
    </row>
    <row r="65" spans="1:71" x14ac:dyDescent="0.2">
      <c r="A65" s="16">
        <v>3</v>
      </c>
      <c r="B65" s="62">
        <v>8980.3657283307948</v>
      </c>
      <c r="C65" s="63">
        <v>5467750900662.9922</v>
      </c>
      <c r="D65" s="63">
        <v>8805078661477519</v>
      </c>
      <c r="E65" s="63">
        <v>4.0297324137886256E+16</v>
      </c>
      <c r="F65" s="59">
        <v>4235</v>
      </c>
      <c r="G65" s="10">
        <v>2</v>
      </c>
      <c r="H65" s="10">
        <v>1.0000000000000001E-9</v>
      </c>
      <c r="I65" s="107">
        <f t="shared" si="4"/>
        <v>599.62438491459602</v>
      </c>
      <c r="J65" s="59">
        <f t="shared" ref="J65:J120" si="5">ABS(I65-$B$85)</f>
        <v>8380.7416101638555</v>
      </c>
      <c r="K65" s="17">
        <v>10</v>
      </c>
      <c r="BR65">
        <v>336</v>
      </c>
      <c r="BS65">
        <f t="shared" si="3"/>
        <v>0.29673590504451397</v>
      </c>
    </row>
    <row r="66" spans="1:71" x14ac:dyDescent="0.2">
      <c r="A66" s="16">
        <v>4</v>
      </c>
      <c r="B66" s="62">
        <v>8980.3659187780704</v>
      </c>
      <c r="C66" s="63">
        <v>5467750254028.4082</v>
      </c>
      <c r="D66" s="63">
        <v>8805078661477485</v>
      </c>
      <c r="E66" s="63">
        <v>4.0297319372189368E+16</v>
      </c>
      <c r="F66" s="59">
        <v>4097</v>
      </c>
      <c r="G66" s="10">
        <v>2</v>
      </c>
      <c r="H66" s="10">
        <v>1.0000000000000001E-9</v>
      </c>
      <c r="I66" s="107">
        <f t="shared" si="4"/>
        <v>898.9365773718788</v>
      </c>
      <c r="J66" s="59">
        <f t="shared" si="5"/>
        <v>8081.4294177065722</v>
      </c>
      <c r="K66" s="17">
        <v>10</v>
      </c>
      <c r="BS66">
        <f>AVERAGE(BS33:BS65)</f>
        <v>8.7731971430044204</v>
      </c>
    </row>
    <row r="67" spans="1:71" x14ac:dyDescent="0.2">
      <c r="A67" s="16">
        <v>5</v>
      </c>
      <c r="B67" s="62">
        <v>8980.3657332673574</v>
      </c>
      <c r="C67" s="63">
        <v>5467750883901.6709</v>
      </c>
      <c r="D67" s="63">
        <v>8805078661477556</v>
      </c>
      <c r="E67" s="63">
        <v>4.0297324014355312E+16</v>
      </c>
      <c r="F67" s="59">
        <v>3937</v>
      </c>
      <c r="G67" s="10">
        <v>2</v>
      </c>
      <c r="H67" s="10">
        <v>1.0000000000000001E-9</v>
      </c>
      <c r="I67" s="107">
        <f t="shared" si="4"/>
        <v>1198.2487698291616</v>
      </c>
      <c r="J67" s="59">
        <f t="shared" si="5"/>
        <v>7782.1172252492897</v>
      </c>
      <c r="K67" s="17">
        <v>10</v>
      </c>
    </row>
    <row r="68" spans="1:71" x14ac:dyDescent="0.2">
      <c r="A68" s="16">
        <v>6</v>
      </c>
      <c r="B68" s="62">
        <v>8980.3659433446483</v>
      </c>
      <c r="C68" s="63">
        <v>5467750170616.3398</v>
      </c>
      <c r="D68" s="63">
        <v>8805078661477444</v>
      </c>
      <c r="E68" s="63">
        <v>4.0297318757442424E+16</v>
      </c>
      <c r="F68" s="59">
        <v>3796</v>
      </c>
      <c r="G68" s="10">
        <v>2</v>
      </c>
      <c r="H68" s="10">
        <v>1.0000000000000001E-9</v>
      </c>
      <c r="I68" s="107">
        <f t="shared" si="4"/>
        <v>1497.5609622864445</v>
      </c>
      <c r="J68" s="59">
        <f t="shared" si="5"/>
        <v>7482.8050327920064</v>
      </c>
      <c r="K68" s="17">
        <v>10</v>
      </c>
    </row>
    <row r="69" spans="1:71" x14ac:dyDescent="0.2">
      <c r="A69" s="16">
        <v>7</v>
      </c>
      <c r="B69" s="62">
        <v>8980.3658964019251</v>
      </c>
      <c r="C69" s="63">
        <v>5467750330003.2109</v>
      </c>
      <c r="D69" s="63">
        <v>8805078661477542</v>
      </c>
      <c r="E69" s="63">
        <v>4.0297319932123664E+16</v>
      </c>
      <c r="F69" s="59">
        <v>3663</v>
      </c>
      <c r="G69" s="10">
        <v>2</v>
      </c>
      <c r="H69" s="10">
        <v>1.0000000000000001E-9</v>
      </c>
      <c r="I69" s="107">
        <f t="shared" si="4"/>
        <v>1796.8731547437274</v>
      </c>
      <c r="J69" s="59">
        <f t="shared" si="5"/>
        <v>7183.492840334724</v>
      </c>
      <c r="K69" s="17">
        <v>10</v>
      </c>
    </row>
    <row r="70" spans="1:71" x14ac:dyDescent="0.2">
      <c r="A70" s="16">
        <v>8</v>
      </c>
      <c r="B70" s="62">
        <v>8980.3658906172095</v>
      </c>
      <c r="C70" s="63">
        <v>5467750349644.2998</v>
      </c>
      <c r="D70" s="63">
        <v>8805078661477502</v>
      </c>
      <c r="E70" s="63">
        <v>4.0297320076878488E+16</v>
      </c>
      <c r="F70" s="59">
        <v>3499</v>
      </c>
      <c r="G70" s="10">
        <v>2</v>
      </c>
      <c r="H70" s="10">
        <v>1.0000000000000001E-9</v>
      </c>
      <c r="I70" s="107">
        <f t="shared" si="4"/>
        <v>2096.1853472010102</v>
      </c>
      <c r="J70" s="59">
        <f t="shared" si="5"/>
        <v>6884.1806478774415</v>
      </c>
      <c r="K70" s="17">
        <v>10</v>
      </c>
    </row>
    <row r="71" spans="1:71" x14ac:dyDescent="0.2">
      <c r="A71" s="16">
        <v>9</v>
      </c>
      <c r="B71" s="62">
        <v>8980.3659230964968</v>
      </c>
      <c r="C71" s="63">
        <v>5467750239365.8428</v>
      </c>
      <c r="D71" s="63">
        <v>8805078661477467</v>
      </c>
      <c r="E71" s="63">
        <v>4.0297319264126264E+16</v>
      </c>
      <c r="F71" s="59">
        <v>3343</v>
      </c>
      <c r="G71" s="10">
        <v>2</v>
      </c>
      <c r="H71" s="10">
        <v>1.0000000000000001E-9</v>
      </c>
      <c r="I71" s="107">
        <f t="shared" si="4"/>
        <v>2395.4975396582931</v>
      </c>
      <c r="J71" s="59">
        <f t="shared" si="5"/>
        <v>6584.8684554201582</v>
      </c>
      <c r="K71" s="17">
        <v>10</v>
      </c>
    </row>
    <row r="72" spans="1:71" x14ac:dyDescent="0.2">
      <c r="A72" s="16">
        <v>10</v>
      </c>
      <c r="B72" s="62">
        <v>8980.3658959677687</v>
      </c>
      <c r="C72" s="63">
        <v>5467750331477.3223</v>
      </c>
      <c r="D72" s="63">
        <v>8805078661477542</v>
      </c>
      <c r="E72" s="63">
        <v>4.0297319942987864E+16</v>
      </c>
      <c r="F72" s="59">
        <v>3203</v>
      </c>
      <c r="G72" s="10">
        <v>2</v>
      </c>
      <c r="H72" s="10">
        <v>1.0000000000000001E-9</v>
      </c>
      <c r="I72" s="107">
        <f t="shared" si="4"/>
        <v>2694.809732115576</v>
      </c>
      <c r="J72" s="59">
        <f t="shared" si="5"/>
        <v>6285.5562629628748</v>
      </c>
      <c r="K72" s="17">
        <v>10</v>
      </c>
    </row>
    <row r="73" spans="1:71" x14ac:dyDescent="0.2">
      <c r="A73" s="16">
        <v>11</v>
      </c>
      <c r="B73" s="62">
        <v>8980.3660859888587</v>
      </c>
      <c r="C73" s="63">
        <v>5467749686289.8389</v>
      </c>
      <c r="D73" s="63">
        <v>8805078661477378</v>
      </c>
      <c r="E73" s="63">
        <v>4.0297315187956112E+16</v>
      </c>
      <c r="F73" s="59">
        <v>3046</v>
      </c>
      <c r="G73" s="10">
        <v>2</v>
      </c>
      <c r="H73" s="10">
        <v>1.0000000000000001E-9</v>
      </c>
      <c r="I73" s="107">
        <f t="shared" si="4"/>
        <v>2994.1219245728589</v>
      </c>
      <c r="J73" s="59">
        <f t="shared" si="5"/>
        <v>5986.2440705055924</v>
      </c>
      <c r="K73" s="17">
        <v>10</v>
      </c>
    </row>
    <row r="74" spans="1:71" x14ac:dyDescent="0.2">
      <c r="A74" s="16">
        <v>12</v>
      </c>
      <c r="B74" s="62">
        <v>8980.3660586883398</v>
      </c>
      <c r="C74" s="63">
        <v>5467749778984.5752</v>
      </c>
      <c r="D74" s="63">
        <v>8805078661477431</v>
      </c>
      <c r="E74" s="63">
        <v>4.029731587111632E+16</v>
      </c>
      <c r="F74" s="59">
        <v>2894</v>
      </c>
      <c r="G74" s="10">
        <v>2</v>
      </c>
      <c r="H74" s="10">
        <v>1.0000000000000001E-9</v>
      </c>
      <c r="I74" s="107">
        <f t="shared" si="4"/>
        <v>3293.4341170301418</v>
      </c>
      <c r="J74" s="59">
        <f t="shared" si="5"/>
        <v>5686.93187804831</v>
      </c>
      <c r="K74" s="17">
        <v>10</v>
      </c>
      <c r="L74" s="144"/>
    </row>
    <row r="75" spans="1:71" x14ac:dyDescent="0.2">
      <c r="A75" s="16">
        <v>13</v>
      </c>
      <c r="B75" s="62">
        <v>8980.3658729376184</v>
      </c>
      <c r="C75" s="63">
        <v>5467750409672.6377</v>
      </c>
      <c r="D75" s="63">
        <v>8805078661477498</v>
      </c>
      <c r="E75" s="63">
        <v>4.0297320519287336E+16</v>
      </c>
      <c r="F75" s="59">
        <v>2755</v>
      </c>
      <c r="G75" s="10">
        <v>2</v>
      </c>
      <c r="H75" s="10">
        <v>1.0000000000000001E-9</v>
      </c>
      <c r="I75" s="107">
        <f t="shared" si="4"/>
        <v>3592.7463094874247</v>
      </c>
      <c r="J75" s="59">
        <f t="shared" si="5"/>
        <v>5387.6196855910266</v>
      </c>
      <c r="K75" s="17">
        <v>10</v>
      </c>
    </row>
    <row r="76" spans="1:71" x14ac:dyDescent="0.2">
      <c r="A76" s="16">
        <v>14</v>
      </c>
      <c r="B76" s="62">
        <v>8980.3660633829058</v>
      </c>
      <c r="C76" s="63">
        <v>5467749763044.8711</v>
      </c>
      <c r="D76" s="63">
        <v>8805078661477385</v>
      </c>
      <c r="E76" s="63">
        <v>4.0297315753640696E+16</v>
      </c>
      <c r="F76" s="59">
        <v>2585</v>
      </c>
      <c r="G76" s="10">
        <v>2</v>
      </c>
      <c r="H76" s="10">
        <v>1.0000000000000001E-9</v>
      </c>
      <c r="I76" s="107">
        <f t="shared" si="4"/>
        <v>3892.0585019447076</v>
      </c>
      <c r="J76" s="59">
        <f t="shared" si="5"/>
        <v>5088.3074931337433</v>
      </c>
      <c r="K76" s="17">
        <v>10</v>
      </c>
      <c r="L76" s="144"/>
    </row>
    <row r="77" spans="1:71" x14ac:dyDescent="0.2">
      <c r="A77" s="16">
        <v>15</v>
      </c>
      <c r="B77" s="62">
        <v>8980.3660378121876</v>
      </c>
      <c r="C77" s="63">
        <v>5467749849866.3164</v>
      </c>
      <c r="D77" s="63">
        <v>8805078661477404</v>
      </c>
      <c r="E77" s="63">
        <v>4.0297316393514752E+16</v>
      </c>
      <c r="F77" s="59">
        <v>2447</v>
      </c>
      <c r="G77" s="10">
        <v>2</v>
      </c>
      <c r="H77" s="10">
        <v>1.0000000000000001E-9</v>
      </c>
      <c r="I77" s="107">
        <f t="shared" si="4"/>
        <v>4191.3706944019905</v>
      </c>
      <c r="J77" s="59">
        <f t="shared" si="5"/>
        <v>4788.9953006764608</v>
      </c>
      <c r="K77" s="17">
        <v>10</v>
      </c>
      <c r="L77" s="144"/>
    </row>
    <row r="78" spans="1:71" x14ac:dyDescent="0.2">
      <c r="A78" s="16">
        <v>16</v>
      </c>
      <c r="B78" s="62">
        <v>8980.3658280974742</v>
      </c>
      <c r="C78" s="63">
        <v>5467750561920.5039</v>
      </c>
      <c r="D78" s="63">
        <v>8805078661477542</v>
      </c>
      <c r="E78" s="63">
        <v>4.0297321641354112E+16</v>
      </c>
      <c r="F78" s="59">
        <v>2311</v>
      </c>
      <c r="G78" s="10">
        <v>2</v>
      </c>
      <c r="H78" s="10">
        <v>1.0000000000000001E-9</v>
      </c>
      <c r="I78" s="107">
        <f t="shared" si="4"/>
        <v>4490.6828868592729</v>
      </c>
      <c r="J78" s="59">
        <f t="shared" si="5"/>
        <v>4489.6831082191784</v>
      </c>
      <c r="K78" s="17">
        <v>10</v>
      </c>
      <c r="L78" s="144"/>
    </row>
    <row r="79" spans="1:71" x14ac:dyDescent="0.2">
      <c r="A79" s="16">
        <v>17</v>
      </c>
      <c r="B79" s="62">
        <v>8980.3658227327542</v>
      </c>
      <c r="C79" s="63">
        <v>5467750580135.5791</v>
      </c>
      <c r="D79" s="63">
        <v>8805078661477526</v>
      </c>
      <c r="E79" s="63">
        <v>4.0297321775599216E+16</v>
      </c>
      <c r="F79" s="59">
        <v>2157</v>
      </c>
      <c r="G79" s="10">
        <v>2</v>
      </c>
      <c r="H79" s="10">
        <v>1.0000000000000001E-9</v>
      </c>
      <c r="I79" s="107">
        <f t="shared" si="4"/>
        <v>4789.9950793165553</v>
      </c>
      <c r="J79" s="59">
        <f t="shared" si="5"/>
        <v>4190.370915761896</v>
      </c>
      <c r="K79" s="17">
        <v>10</v>
      </c>
    </row>
    <row r="80" spans="1:71" x14ac:dyDescent="0.2">
      <c r="A80" s="16">
        <v>18</v>
      </c>
      <c r="B80" s="62">
        <v>8980.3660132320347</v>
      </c>
      <c r="C80" s="63">
        <v>5467749933324.457</v>
      </c>
      <c r="D80" s="63">
        <v>8805078661477429</v>
      </c>
      <c r="E80" s="63">
        <v>4.0297317008601248E+16</v>
      </c>
      <c r="F80" s="59">
        <v>2015</v>
      </c>
      <c r="G80" s="10">
        <v>2</v>
      </c>
      <c r="H80" s="10">
        <v>1.0000000000000001E-9</v>
      </c>
      <c r="I80" s="107">
        <f t="shared" si="4"/>
        <v>5089.3072717738378</v>
      </c>
      <c r="J80" s="59">
        <f t="shared" si="5"/>
        <v>3891.0587233046135</v>
      </c>
      <c r="K80" s="17">
        <v>10</v>
      </c>
    </row>
    <row r="81" spans="1:11" x14ac:dyDescent="0.2">
      <c r="A81" s="16">
        <v>19</v>
      </c>
      <c r="B81" s="62">
        <v>8980.3660476473178</v>
      </c>
      <c r="C81" s="63">
        <v>5467749816472.6641</v>
      </c>
      <c r="D81" s="63">
        <v>8805078661477431</v>
      </c>
      <c r="E81" s="63">
        <v>4.0297316147403536E+16</v>
      </c>
      <c r="F81" s="59">
        <v>1848</v>
      </c>
      <c r="G81" s="10">
        <v>2</v>
      </c>
      <c r="H81" s="10">
        <v>1.0000000000000001E-9</v>
      </c>
      <c r="I81" s="107">
        <f t="shared" si="4"/>
        <v>5388.6194642311202</v>
      </c>
      <c r="J81" s="59">
        <f t="shared" si="5"/>
        <v>3591.7465308473311</v>
      </c>
      <c r="K81" s="17">
        <v>10</v>
      </c>
    </row>
    <row r="82" spans="1:11" x14ac:dyDescent="0.2">
      <c r="A82" s="16">
        <v>20</v>
      </c>
      <c r="B82" s="62">
        <v>8980.3657803046026</v>
      </c>
      <c r="C82" s="63">
        <v>5467750724193.877</v>
      </c>
      <c r="D82" s="63">
        <v>8805078661477529</v>
      </c>
      <c r="E82" s="63">
        <v>4.0297322837308872E+16</v>
      </c>
      <c r="F82" s="59">
        <v>1706</v>
      </c>
      <c r="G82" s="10">
        <v>2</v>
      </c>
      <c r="H82" s="10">
        <v>1.0000000000000001E-9</v>
      </c>
      <c r="I82" s="107">
        <f t="shared" si="4"/>
        <v>5687.9316566884027</v>
      </c>
      <c r="J82" s="59">
        <f t="shared" si="5"/>
        <v>3292.4343383900487</v>
      </c>
      <c r="K82" s="17">
        <v>10</v>
      </c>
    </row>
    <row r="83" spans="1:11" x14ac:dyDescent="0.2">
      <c r="A83" s="16">
        <v>21</v>
      </c>
      <c r="B83" s="62">
        <v>8980.3658329816772</v>
      </c>
      <c r="C83" s="63">
        <v>5467750545336.9258</v>
      </c>
      <c r="D83" s="63">
        <v>8805078661477518</v>
      </c>
      <c r="E83" s="63">
        <v>4.0297321519133144E+16</v>
      </c>
      <c r="F83" s="59">
        <v>1548</v>
      </c>
      <c r="G83" s="10">
        <v>2</v>
      </c>
      <c r="H83" s="10">
        <v>1.0000000000000001E-9</v>
      </c>
      <c r="I83" s="107">
        <f t="shared" si="4"/>
        <v>5987.2438491456851</v>
      </c>
      <c r="J83" s="59">
        <f t="shared" si="5"/>
        <v>2993.1221459327662</v>
      </c>
      <c r="K83" s="17">
        <v>10</v>
      </c>
    </row>
    <row r="84" spans="1:11" x14ac:dyDescent="0.2">
      <c r="A84" s="16">
        <v>22</v>
      </c>
      <c r="B84" s="62">
        <v>8980.3658050411668</v>
      </c>
      <c r="C84" s="63">
        <v>5467750640204.6738</v>
      </c>
      <c r="D84" s="63">
        <v>8805078661477555</v>
      </c>
      <c r="E84" s="63">
        <v>4.0297322218308448E+16</v>
      </c>
      <c r="F84" s="59">
        <v>1397</v>
      </c>
      <c r="G84" s="10">
        <v>2</v>
      </c>
      <c r="H84" s="10">
        <v>1.0000000000000001E-9</v>
      </c>
      <c r="I84" s="107">
        <f t="shared" si="4"/>
        <v>6286.5560416029675</v>
      </c>
      <c r="J84" s="59">
        <f t="shared" si="5"/>
        <v>2693.8099534754838</v>
      </c>
      <c r="K84" s="17">
        <v>10</v>
      </c>
    </row>
    <row r="85" spans="1:11" x14ac:dyDescent="0.2">
      <c r="A85" s="16">
        <v>23</v>
      </c>
      <c r="B85" s="62">
        <v>8980.3659950784513</v>
      </c>
      <c r="C85" s="63">
        <v>5467749994962.1807</v>
      </c>
      <c r="D85" s="63">
        <v>8805078661477469</v>
      </c>
      <c r="E85" s="63">
        <v>4.0297317462871272E+16</v>
      </c>
      <c r="F85" s="59">
        <v>1255</v>
      </c>
      <c r="G85" s="10">
        <v>2</v>
      </c>
      <c r="H85" s="10">
        <v>1.0000000000000001E-9</v>
      </c>
      <c r="I85" s="107">
        <f t="shared" si="4"/>
        <v>6585.86823406025</v>
      </c>
      <c r="J85" s="59">
        <f t="shared" si="5"/>
        <v>2394.4977610182013</v>
      </c>
      <c r="K85" s="17">
        <v>10</v>
      </c>
    </row>
    <row r="86" spans="1:11" x14ac:dyDescent="0.2">
      <c r="A86" s="16">
        <v>24</v>
      </c>
      <c r="B86" s="62">
        <v>8980.366007755727</v>
      </c>
      <c r="C86" s="63">
        <v>5467749951918.4404</v>
      </c>
      <c r="D86" s="63">
        <v>8805078661477467</v>
      </c>
      <c r="E86" s="63">
        <v>4.0297317145638904E+16</v>
      </c>
      <c r="F86" s="59">
        <v>1100</v>
      </c>
      <c r="G86" s="10">
        <v>2</v>
      </c>
      <c r="H86" s="10">
        <v>1.0000000000000001E-9</v>
      </c>
      <c r="I86" s="107">
        <f t="shared" si="4"/>
        <v>6885.1804265175324</v>
      </c>
      <c r="J86" s="59">
        <f t="shared" si="5"/>
        <v>2095.1855685609189</v>
      </c>
      <c r="K86" s="17">
        <v>10</v>
      </c>
    </row>
    <row r="87" spans="1:11" x14ac:dyDescent="0.2">
      <c r="A87" s="16">
        <v>25</v>
      </c>
      <c r="B87" s="62">
        <v>8980.3660004130106</v>
      </c>
      <c r="C87" s="63">
        <v>5467749976849.4785</v>
      </c>
      <c r="D87" s="63">
        <v>8805078661477426</v>
      </c>
      <c r="E87" s="63">
        <v>4.0297317329380656E+16</v>
      </c>
      <c r="F87" s="59">
        <v>956</v>
      </c>
      <c r="G87" s="10">
        <v>2</v>
      </c>
      <c r="H87" s="10">
        <v>1.0000000000000001E-9</v>
      </c>
      <c r="I87" s="107">
        <f t="shared" si="4"/>
        <v>7184.4926189748148</v>
      </c>
      <c r="J87" s="59">
        <f t="shared" si="5"/>
        <v>1795.8733761036365</v>
      </c>
      <c r="K87" s="17">
        <v>10</v>
      </c>
    </row>
    <row r="88" spans="1:11" x14ac:dyDescent="0.2">
      <c r="A88" s="16">
        <v>26</v>
      </c>
      <c r="B88" s="62">
        <v>8980.3659730482977</v>
      </c>
      <c r="C88" s="63">
        <v>5467750069762.1729</v>
      </c>
      <c r="D88" s="63">
        <v>8805078661477459</v>
      </c>
      <c r="E88" s="63">
        <v>4.0297318014147216E+16</v>
      </c>
      <c r="F88" s="59">
        <v>802</v>
      </c>
      <c r="G88" s="10">
        <v>2</v>
      </c>
      <c r="H88" s="10">
        <v>1.0000000000000001E-9</v>
      </c>
      <c r="I88" s="107">
        <f t="shared" si="4"/>
        <v>7483.8048114320973</v>
      </c>
      <c r="J88" s="59">
        <f t="shared" si="5"/>
        <v>1496.561183646354</v>
      </c>
      <c r="K88" s="17">
        <v>10</v>
      </c>
    </row>
    <row r="89" spans="1:11" x14ac:dyDescent="0.2">
      <c r="A89" s="16">
        <v>27</v>
      </c>
      <c r="B89" s="62">
        <v>8980.3659452995762</v>
      </c>
      <c r="C89" s="63">
        <v>5467750163978.6973</v>
      </c>
      <c r="D89" s="63">
        <v>8805078661477468</v>
      </c>
      <c r="E89" s="63">
        <v>4.0297318708523E+16</v>
      </c>
      <c r="F89" s="59">
        <v>664</v>
      </c>
      <c r="G89" s="10">
        <v>2</v>
      </c>
      <c r="H89" s="10">
        <v>1.0000000000000001E-9</v>
      </c>
      <c r="I89" s="107">
        <f t="shared" si="4"/>
        <v>7783.1170038893797</v>
      </c>
      <c r="J89" s="59">
        <f t="shared" si="5"/>
        <v>1197.2489911890716</v>
      </c>
      <c r="K89" s="17">
        <v>10</v>
      </c>
    </row>
    <row r="90" spans="1:11" x14ac:dyDescent="0.2">
      <c r="A90" s="16">
        <v>28</v>
      </c>
      <c r="B90" s="62">
        <v>8980.3657597628589</v>
      </c>
      <c r="C90" s="63">
        <v>5467750793940.2188</v>
      </c>
      <c r="D90" s="63">
        <v>8805078661477516</v>
      </c>
      <c r="E90" s="63">
        <v>4.0297323351339416E+16</v>
      </c>
      <c r="F90" s="59">
        <v>506</v>
      </c>
      <c r="G90" s="10">
        <v>2</v>
      </c>
      <c r="H90" s="10">
        <v>1.0000000000000001E-9</v>
      </c>
      <c r="I90" s="107">
        <f t="shared" si="4"/>
        <v>8082.4291963466621</v>
      </c>
      <c r="J90" s="59">
        <f t="shared" si="5"/>
        <v>897.93679873178917</v>
      </c>
      <c r="K90" s="17">
        <v>10</v>
      </c>
    </row>
    <row r="91" spans="1:11" x14ac:dyDescent="0.2">
      <c r="A91" s="16">
        <v>29</v>
      </c>
      <c r="B91" s="62">
        <v>8980.3657322421477</v>
      </c>
      <c r="C91" s="63">
        <v>5467750887382.5771</v>
      </c>
      <c r="D91" s="63">
        <v>8805078661477497</v>
      </c>
      <c r="E91" s="63">
        <v>4.0297324040009592E+16</v>
      </c>
      <c r="F91" s="59">
        <v>353</v>
      </c>
      <c r="G91" s="10">
        <v>2</v>
      </c>
      <c r="H91" s="10">
        <v>1.0000000000000001E-9</v>
      </c>
      <c r="I91" s="107">
        <f t="shared" si="4"/>
        <v>8381.7413888039446</v>
      </c>
      <c r="J91" s="59">
        <f t="shared" si="5"/>
        <v>598.62460627450673</v>
      </c>
      <c r="K91" s="17">
        <v>10</v>
      </c>
    </row>
    <row r="92" spans="1:11" x14ac:dyDescent="0.2">
      <c r="A92" s="16">
        <v>30</v>
      </c>
      <c r="B92" s="62">
        <v>8980.3659246774205</v>
      </c>
      <c r="C92" s="63">
        <v>5467750233998.0742</v>
      </c>
      <c r="D92" s="63">
        <v>8805078661477491</v>
      </c>
      <c r="E92" s="63">
        <v>4.0297319224565808E+16</v>
      </c>
      <c r="F92" s="59">
        <v>211</v>
      </c>
      <c r="G92" s="10">
        <v>2</v>
      </c>
      <c r="H92" s="10">
        <v>1.0000000000000001E-9</v>
      </c>
      <c r="I92" s="107">
        <f t="shared" si="4"/>
        <v>8681.053581261227</v>
      </c>
      <c r="J92" s="59">
        <f t="shared" si="5"/>
        <v>299.3124138172243</v>
      </c>
      <c r="K92" s="17">
        <v>10</v>
      </c>
    </row>
    <row r="93" spans="1:11" x14ac:dyDescent="0.2">
      <c r="A93" s="16">
        <v>31</v>
      </c>
      <c r="B93" s="62">
        <v>8980.3659353346993</v>
      </c>
      <c r="C93" s="63">
        <v>5467750197812.9189</v>
      </c>
      <c r="D93" s="63">
        <v>8805078661477488</v>
      </c>
      <c r="E93" s="63">
        <v>4.0297318957881216E+16</v>
      </c>
      <c r="F93" s="59">
        <v>65</v>
      </c>
      <c r="G93" s="10">
        <v>2</v>
      </c>
      <c r="H93" s="10">
        <v>1.0000000000000001E-9</v>
      </c>
      <c r="I93" s="145">
        <f>sheet1!I6</f>
        <v>8980.3657737185094</v>
      </c>
      <c r="J93" s="59">
        <f t="shared" si="5"/>
        <v>2.2135994186101016E-4</v>
      </c>
      <c r="K93" s="17">
        <v>10</v>
      </c>
    </row>
    <row r="94" spans="1:11" x14ac:dyDescent="0.2">
      <c r="A94" s="16">
        <v>32</v>
      </c>
      <c r="B94" s="62">
        <v>8980.3659296128972</v>
      </c>
      <c r="C94" s="63">
        <v>5467750217240.4063</v>
      </c>
      <c r="D94" s="63">
        <v>8805078661477467</v>
      </c>
      <c r="E94" s="63">
        <v>4.0297319101061792E+16</v>
      </c>
      <c r="F94" s="59">
        <v>1563</v>
      </c>
      <c r="G94" s="10">
        <v>2</v>
      </c>
      <c r="H94" s="10">
        <v>1.0000000000000001E-9</v>
      </c>
      <c r="I94" s="107">
        <f>I93+$I$61</f>
        <v>9279.6779661757919</v>
      </c>
      <c r="J94" s="59">
        <f t="shared" si="5"/>
        <v>299.31197109734057</v>
      </c>
      <c r="K94" s="17">
        <v>10</v>
      </c>
    </row>
    <row r="95" spans="1:11" x14ac:dyDescent="0.2">
      <c r="A95" s="16">
        <v>33</v>
      </c>
      <c r="B95" s="62">
        <v>8980.3659220690861</v>
      </c>
      <c r="C95" s="63">
        <v>5467750242854.2852</v>
      </c>
      <c r="D95" s="63">
        <v>8805078661477510</v>
      </c>
      <c r="E95" s="63">
        <v>4.029731928983608E+16</v>
      </c>
      <c r="F95" s="59">
        <v>3059</v>
      </c>
      <c r="G95" s="10">
        <v>2</v>
      </c>
      <c r="H95" s="10">
        <v>1.0000000000000001E-9</v>
      </c>
      <c r="I95" s="107">
        <f t="shared" ref="I95:I120" si="6">I94+$I$61</f>
        <v>9578.9901586330743</v>
      </c>
      <c r="J95" s="59">
        <f t="shared" si="5"/>
        <v>598.62416355462301</v>
      </c>
      <c r="K95" s="17">
        <v>10</v>
      </c>
    </row>
    <row r="96" spans="1:11" x14ac:dyDescent="0.2">
      <c r="A96" s="16">
        <v>34</v>
      </c>
      <c r="B96" s="62">
        <v>8980.366114503282</v>
      </c>
      <c r="C96" s="63">
        <v>5467749589473.5117</v>
      </c>
      <c r="D96" s="63">
        <v>8805078661477374</v>
      </c>
      <c r="E96" s="63">
        <v>4.0297314474419784E+16</v>
      </c>
      <c r="F96" s="59">
        <v>4556</v>
      </c>
      <c r="G96" s="10">
        <v>2</v>
      </c>
      <c r="H96" s="10">
        <v>1.0000000000000001E-9</v>
      </c>
      <c r="I96" s="107">
        <f t="shared" si="6"/>
        <v>9878.3023510903568</v>
      </c>
      <c r="J96" s="59">
        <f t="shared" si="5"/>
        <v>897.93635601190545</v>
      </c>
      <c r="K96" s="17">
        <v>10</v>
      </c>
    </row>
    <row r="97" spans="1:11" x14ac:dyDescent="0.2">
      <c r="A97" s="16">
        <v>35</v>
      </c>
      <c r="B97" s="62">
        <v>8980.3660869594714</v>
      </c>
      <c r="C97" s="63">
        <v>5467749682994.29</v>
      </c>
      <c r="D97" s="63">
        <v>8805078661477405</v>
      </c>
      <c r="E97" s="63">
        <v>4.029731516366792E+16</v>
      </c>
      <c r="F97" s="59">
        <v>6053</v>
      </c>
      <c r="G97" s="10">
        <v>2</v>
      </c>
      <c r="H97" s="10">
        <v>1.0000000000000001E-9</v>
      </c>
      <c r="I97" s="107">
        <f t="shared" si="6"/>
        <v>10177.614543547639</v>
      </c>
      <c r="J97" s="59">
        <f t="shared" si="5"/>
        <v>1197.2485484691879</v>
      </c>
      <c r="K97" s="17">
        <v>10</v>
      </c>
    </row>
    <row r="98" spans="1:11" x14ac:dyDescent="0.2">
      <c r="A98" s="16">
        <v>36</v>
      </c>
      <c r="B98" s="62">
        <v>8980.365877829463</v>
      </c>
      <c r="C98" s="63">
        <v>5467750393063.1074</v>
      </c>
      <c r="D98" s="63">
        <v>8805078661477462</v>
      </c>
      <c r="E98" s="63">
        <v>4.0297320396875104E+16</v>
      </c>
      <c r="F98" s="59">
        <v>7548</v>
      </c>
      <c r="G98" s="10">
        <v>2</v>
      </c>
      <c r="H98" s="10">
        <v>1.0000000000000001E-9</v>
      </c>
      <c r="I98" s="107">
        <f t="shared" si="6"/>
        <v>10476.926736004922</v>
      </c>
      <c r="J98" s="59">
        <f t="shared" si="5"/>
        <v>1496.5607409264703</v>
      </c>
      <c r="K98" s="17">
        <v>10</v>
      </c>
    </row>
    <row r="99" spans="1:11" x14ac:dyDescent="0.2">
      <c r="A99" s="16">
        <v>37</v>
      </c>
      <c r="B99" s="62">
        <v>8980.365892293863</v>
      </c>
      <c r="C99" s="63">
        <v>5467750343951.4678</v>
      </c>
      <c r="D99" s="63">
        <v>8805078661477482</v>
      </c>
      <c r="E99" s="63">
        <v>4.029732003492232E+16</v>
      </c>
      <c r="F99" s="59">
        <v>9041</v>
      </c>
      <c r="G99" s="10">
        <v>2</v>
      </c>
      <c r="H99" s="10">
        <v>1.0000000000000001E-9</v>
      </c>
      <c r="I99" s="107">
        <f t="shared" si="6"/>
        <v>10776.238928462204</v>
      </c>
      <c r="J99" s="59">
        <f t="shared" si="5"/>
        <v>1795.8729333837528</v>
      </c>
      <c r="K99" s="17">
        <v>10</v>
      </c>
    </row>
    <row r="100" spans="1:11" x14ac:dyDescent="0.2">
      <c r="A100" s="16">
        <v>38</v>
      </c>
      <c r="B100" s="62">
        <v>8980.3660825280549</v>
      </c>
      <c r="C100" s="63">
        <v>5467749698040.4658</v>
      </c>
      <c r="D100" s="63">
        <v>8805078661477380</v>
      </c>
      <c r="E100" s="63">
        <v>4.0297315274558232E+16</v>
      </c>
      <c r="F100" s="59">
        <v>10549</v>
      </c>
      <c r="G100" s="10">
        <v>2</v>
      </c>
      <c r="H100" s="10">
        <v>1.0000000000000001E-9</v>
      </c>
      <c r="I100" s="107">
        <f t="shared" si="6"/>
        <v>11075.551120919486</v>
      </c>
      <c r="J100" s="59">
        <f t="shared" si="5"/>
        <v>2095.1851258410352</v>
      </c>
      <c r="K100" s="17">
        <v>10</v>
      </c>
    </row>
    <row r="101" spans="1:11" x14ac:dyDescent="0.2">
      <c r="A101" s="16">
        <v>39</v>
      </c>
      <c r="B101" s="62">
        <v>8980.3660546022475</v>
      </c>
      <c r="C101" s="63">
        <v>5467749792858.2764</v>
      </c>
      <c r="D101" s="63">
        <v>8805078661477438</v>
      </c>
      <c r="E101" s="63">
        <v>4.0297315973365496E+16</v>
      </c>
      <c r="F101" s="59">
        <v>12039</v>
      </c>
      <c r="G101" s="10">
        <v>2</v>
      </c>
      <c r="H101" s="10">
        <v>1.0000000000000001E-9</v>
      </c>
      <c r="I101" s="107">
        <f t="shared" si="6"/>
        <v>11374.863313376769</v>
      </c>
      <c r="J101" s="59">
        <f t="shared" si="5"/>
        <v>2394.4973182983176</v>
      </c>
      <c r="K101" s="17">
        <v>10</v>
      </c>
    </row>
    <row r="102" spans="1:11" x14ac:dyDescent="0.2">
      <c r="A102" s="16">
        <v>40</v>
      </c>
      <c r="B102" s="62">
        <v>8980.3658892802396</v>
      </c>
      <c r="C102" s="63">
        <v>5467750354183.7715</v>
      </c>
      <c r="D102" s="63">
        <v>8805078661477494</v>
      </c>
      <c r="E102" s="63">
        <v>4.0297320110334392E+16</v>
      </c>
      <c r="F102" s="59">
        <v>13542</v>
      </c>
      <c r="G102" s="10">
        <v>2</v>
      </c>
      <c r="H102" s="10">
        <v>1.0000000000000001E-9</v>
      </c>
      <c r="I102" s="107">
        <f t="shared" si="6"/>
        <v>11674.175505834051</v>
      </c>
      <c r="J102" s="59">
        <f t="shared" si="5"/>
        <v>2693.8095107556001</v>
      </c>
      <c r="K102" s="17">
        <v>10</v>
      </c>
    </row>
    <row r="103" spans="1:11" x14ac:dyDescent="0.2">
      <c r="A103" s="16">
        <v>41</v>
      </c>
      <c r="B103" s="62">
        <v>8980.3658398966363</v>
      </c>
      <c r="C103" s="63">
        <v>5467750521858.2412</v>
      </c>
      <c r="D103" s="63">
        <v>8805078661477518</v>
      </c>
      <c r="E103" s="63">
        <v>4.029732134609524E+16</v>
      </c>
      <c r="F103" s="59">
        <v>15037</v>
      </c>
      <c r="G103" s="10">
        <v>2</v>
      </c>
      <c r="H103" s="10">
        <v>1.0000000000000001E-9</v>
      </c>
      <c r="I103" s="107">
        <f t="shared" si="6"/>
        <v>11973.487698291334</v>
      </c>
      <c r="J103" s="59">
        <f t="shared" si="5"/>
        <v>2993.1217032128825</v>
      </c>
      <c r="K103" s="17">
        <v>10</v>
      </c>
    </row>
    <row r="104" spans="1:11" x14ac:dyDescent="0.2">
      <c r="A104" s="16">
        <v>42</v>
      </c>
      <c r="B104" s="62">
        <v>8980.3660521748297</v>
      </c>
      <c r="C104" s="63">
        <v>5467749801100.1807</v>
      </c>
      <c r="D104" s="63">
        <v>8805078661477409</v>
      </c>
      <c r="E104" s="63">
        <v>4.0297316034108328E+16</v>
      </c>
      <c r="F104" s="59">
        <v>16524</v>
      </c>
      <c r="G104" s="10">
        <v>2</v>
      </c>
      <c r="H104" s="10">
        <v>1.0000000000000001E-9</v>
      </c>
      <c r="I104" s="107">
        <f t="shared" si="6"/>
        <v>12272.799890748616</v>
      </c>
      <c r="J104" s="59">
        <f t="shared" si="5"/>
        <v>3292.4338956701649</v>
      </c>
      <c r="K104" s="17">
        <v>10</v>
      </c>
    </row>
    <row r="105" spans="1:11" x14ac:dyDescent="0.2">
      <c r="A105" s="16">
        <v>43</v>
      </c>
      <c r="B105" s="62">
        <v>8980.365844448821</v>
      </c>
      <c r="C105" s="63">
        <v>5467750506401.9932</v>
      </c>
      <c r="D105" s="63">
        <v>8805078661477514</v>
      </c>
      <c r="E105" s="63">
        <v>4.0297321232182688E+16</v>
      </c>
      <c r="F105" s="59">
        <v>18031</v>
      </c>
      <c r="G105" s="10">
        <v>2</v>
      </c>
      <c r="H105" s="10">
        <v>1.0000000000000001E-9</v>
      </c>
      <c r="I105" s="107">
        <f t="shared" si="6"/>
        <v>12572.112083205899</v>
      </c>
      <c r="J105" s="59">
        <f t="shared" si="5"/>
        <v>3591.7460881274474</v>
      </c>
      <c r="K105" s="17">
        <v>10</v>
      </c>
    </row>
    <row r="106" spans="1:11" x14ac:dyDescent="0.2">
      <c r="A106" s="16">
        <v>44</v>
      </c>
      <c r="B106" s="62">
        <v>8980.3660190652154</v>
      </c>
      <c r="C106" s="63">
        <v>5467749913518.7969</v>
      </c>
      <c r="D106" s="63">
        <v>8805078661477441</v>
      </c>
      <c r="E106" s="63">
        <v>4.0297316862633536E+16</v>
      </c>
      <c r="F106" s="59">
        <v>19517</v>
      </c>
      <c r="G106" s="10">
        <v>2</v>
      </c>
      <c r="H106" s="10">
        <v>1.0000000000000001E-9</v>
      </c>
      <c r="I106" s="107">
        <f t="shared" si="6"/>
        <v>12871.424275663181</v>
      </c>
      <c r="J106" s="59">
        <f t="shared" si="5"/>
        <v>3891.0582805847298</v>
      </c>
      <c r="K106" s="17">
        <v>10</v>
      </c>
    </row>
    <row r="107" spans="1:11" x14ac:dyDescent="0.2">
      <c r="A107" s="16">
        <v>45</v>
      </c>
      <c r="B107" s="62">
        <v>8980.3658097214102</v>
      </c>
      <c r="C107" s="63">
        <v>5467750624313.6094</v>
      </c>
      <c r="D107" s="63">
        <v>8805078661477532</v>
      </c>
      <c r="E107" s="63">
        <v>4.0297322101191304E+16</v>
      </c>
      <c r="F107" s="59">
        <v>21010</v>
      </c>
      <c r="G107" s="10">
        <v>2</v>
      </c>
      <c r="H107" s="10">
        <v>1.0000000000000001E-9</v>
      </c>
      <c r="I107" s="107">
        <f t="shared" si="6"/>
        <v>13170.736468120464</v>
      </c>
      <c r="J107" s="59">
        <f t="shared" si="5"/>
        <v>4190.3704730420122</v>
      </c>
      <c r="K107" s="17">
        <v>10</v>
      </c>
    </row>
    <row r="108" spans="1:11" x14ac:dyDescent="0.2">
      <c r="A108" s="16">
        <v>46</v>
      </c>
      <c r="B108" s="62">
        <v>8980.3660219996</v>
      </c>
      <c r="C108" s="63">
        <v>5467749903555.5352</v>
      </c>
      <c r="D108" s="63">
        <v>8805078661477424</v>
      </c>
      <c r="E108" s="63">
        <v>4.0297316789204296E+16</v>
      </c>
      <c r="F108" s="59">
        <v>22507</v>
      </c>
      <c r="G108" s="10">
        <v>2</v>
      </c>
      <c r="H108" s="10">
        <v>1.0000000000000001E-9</v>
      </c>
      <c r="I108" s="107">
        <f t="shared" si="6"/>
        <v>13470.048660577746</v>
      </c>
      <c r="J108" s="59">
        <f t="shared" si="5"/>
        <v>4489.6826654992947</v>
      </c>
      <c r="K108" s="17">
        <v>10</v>
      </c>
    </row>
    <row r="109" spans="1:11" x14ac:dyDescent="0.2">
      <c r="A109" s="16">
        <v>47</v>
      </c>
      <c r="B109" s="62">
        <v>8980.3660164337998</v>
      </c>
      <c r="C109" s="63">
        <v>5467749922453.3701</v>
      </c>
      <c r="D109" s="63">
        <v>8805078661477451</v>
      </c>
      <c r="E109" s="63">
        <v>4.0297316928481336E+16</v>
      </c>
      <c r="F109" s="59">
        <v>24015</v>
      </c>
      <c r="G109" s="10">
        <v>2</v>
      </c>
      <c r="H109" s="10">
        <v>1.0000000000000001E-9</v>
      </c>
      <c r="I109" s="107">
        <f t="shared" si="6"/>
        <v>13769.360853035028</v>
      </c>
      <c r="J109" s="59">
        <f t="shared" si="5"/>
        <v>4788.9948579565771</v>
      </c>
      <c r="K109" s="17">
        <v>10</v>
      </c>
    </row>
    <row r="110" spans="1:11" x14ac:dyDescent="0.2">
      <c r="A110" s="16">
        <v>48</v>
      </c>
      <c r="B110" s="62">
        <v>8980.3659870899919</v>
      </c>
      <c r="C110" s="63">
        <v>5467750022085.7578</v>
      </c>
      <c r="D110" s="63">
        <v>8805078661477456</v>
      </c>
      <c r="E110" s="63">
        <v>4.0297317662772032E+16</v>
      </c>
      <c r="F110" s="59">
        <v>25523</v>
      </c>
      <c r="G110" s="10">
        <v>2</v>
      </c>
      <c r="H110" s="10">
        <v>1.0000000000000001E-9</v>
      </c>
      <c r="I110" s="107">
        <f t="shared" si="6"/>
        <v>14068.673045492311</v>
      </c>
      <c r="J110" s="59">
        <f t="shared" si="5"/>
        <v>5088.3070504138595</v>
      </c>
      <c r="K110" s="17">
        <v>10</v>
      </c>
    </row>
    <row r="111" spans="1:11" x14ac:dyDescent="0.2">
      <c r="A111" s="16">
        <v>49</v>
      </c>
      <c r="B111" s="62">
        <v>8980.3660193361793</v>
      </c>
      <c r="C111" s="63">
        <v>5467749912598.7744</v>
      </c>
      <c r="D111" s="63">
        <v>8805078661477431</v>
      </c>
      <c r="E111" s="63">
        <v>4.0297316855852968E+16</v>
      </c>
      <c r="F111" s="59">
        <v>27010</v>
      </c>
      <c r="G111" s="10">
        <v>2</v>
      </c>
      <c r="H111" s="10">
        <v>1.0000000000000001E-9</v>
      </c>
      <c r="I111" s="107">
        <f t="shared" si="6"/>
        <v>14367.985237949593</v>
      </c>
      <c r="J111" s="59">
        <f t="shared" si="5"/>
        <v>5387.619242871142</v>
      </c>
      <c r="K111" s="17">
        <v>10</v>
      </c>
    </row>
    <row r="112" spans="1:11" x14ac:dyDescent="0.2">
      <c r="A112" s="16">
        <v>50</v>
      </c>
      <c r="B112" s="62">
        <v>8980.3660138443811</v>
      </c>
      <c r="C112" s="63">
        <v>5467749931245.3223</v>
      </c>
      <c r="D112" s="63">
        <v>8805078661477418</v>
      </c>
      <c r="E112" s="63">
        <v>4.0297316993278024E+16</v>
      </c>
      <c r="F112" s="59">
        <v>28503</v>
      </c>
      <c r="G112" s="10">
        <v>2</v>
      </c>
      <c r="H112" s="10">
        <v>1.0000000000000001E-9</v>
      </c>
      <c r="I112" s="107">
        <f t="shared" si="6"/>
        <v>14667.297430406876</v>
      </c>
      <c r="J112" s="59">
        <f t="shared" si="5"/>
        <v>5686.9314353284244</v>
      </c>
      <c r="K112" s="17">
        <v>10</v>
      </c>
    </row>
    <row r="113" spans="1:11" x14ac:dyDescent="0.2">
      <c r="A113" s="16">
        <v>51</v>
      </c>
      <c r="B113" s="62">
        <v>8980.3659863005705</v>
      </c>
      <c r="C113" s="63">
        <v>5467750024766.1074</v>
      </c>
      <c r="D113" s="63">
        <v>8805078661477441</v>
      </c>
      <c r="E113" s="63">
        <v>4.0297317682526208E+16</v>
      </c>
      <c r="F113" s="59">
        <v>30000</v>
      </c>
      <c r="G113" s="10">
        <v>2</v>
      </c>
      <c r="H113" s="10">
        <v>1.0000000000000001E-9</v>
      </c>
      <c r="I113" s="107">
        <f t="shared" si="6"/>
        <v>14966.609622864158</v>
      </c>
      <c r="J113" s="59">
        <f t="shared" si="5"/>
        <v>5986.2436277857068</v>
      </c>
      <c r="K113" s="17">
        <v>10</v>
      </c>
    </row>
    <row r="114" spans="1:11" x14ac:dyDescent="0.2">
      <c r="A114" s="16">
        <v>52</v>
      </c>
      <c r="B114" s="62">
        <v>8980.3659567065624</v>
      </c>
      <c r="C114" s="63">
        <v>5467750125248.0059</v>
      </c>
      <c r="D114" s="63">
        <v>8805078661477432</v>
      </c>
      <c r="E114" s="63">
        <v>4.02973184230778E+16</v>
      </c>
      <c r="F114" s="59">
        <v>31498</v>
      </c>
      <c r="G114" s="10">
        <v>2</v>
      </c>
      <c r="H114" s="10">
        <v>1.0000000000000001E-9</v>
      </c>
      <c r="I114" s="107">
        <f t="shared" si="6"/>
        <v>15265.921815321441</v>
      </c>
      <c r="J114" s="59">
        <f t="shared" si="5"/>
        <v>6285.5558202429893</v>
      </c>
      <c r="K114" s="17">
        <v>10</v>
      </c>
    </row>
    <row r="115" spans="1:11" x14ac:dyDescent="0.2">
      <c r="A115" s="16">
        <v>53</v>
      </c>
      <c r="B115" s="62">
        <v>8980.3659891929547</v>
      </c>
      <c r="C115" s="63">
        <v>5467750014945.4648</v>
      </c>
      <c r="D115" s="63">
        <v>8805078661477446</v>
      </c>
      <c r="E115" s="63">
        <v>4.0297317610148072E+16</v>
      </c>
      <c r="F115" s="59">
        <v>32989</v>
      </c>
      <c r="G115" s="10">
        <v>2</v>
      </c>
      <c r="H115" s="10">
        <v>1.0000000000000001E-9</v>
      </c>
      <c r="I115" s="107">
        <f t="shared" si="6"/>
        <v>15565.234007778723</v>
      </c>
      <c r="J115" s="59">
        <f t="shared" si="5"/>
        <v>6584.8680127002717</v>
      </c>
      <c r="K115" s="17">
        <v>10</v>
      </c>
    </row>
    <row r="116" spans="1:11" x14ac:dyDescent="0.2">
      <c r="A116" s="16">
        <v>54</v>
      </c>
      <c r="B116" s="62">
        <v>8980.3657436491521</v>
      </c>
      <c r="C116" s="63">
        <v>5467750848651.8418</v>
      </c>
      <c r="D116" s="63">
        <v>8805078661477506</v>
      </c>
      <c r="E116" s="63">
        <v>4.0297323754564072E+16</v>
      </c>
      <c r="F116" s="59">
        <v>34487</v>
      </c>
      <c r="G116" s="10">
        <v>2</v>
      </c>
      <c r="H116" s="10">
        <v>1.0000000000000001E-9</v>
      </c>
      <c r="I116" s="107">
        <f t="shared" si="6"/>
        <v>15864.546200236005</v>
      </c>
      <c r="J116" s="59">
        <f t="shared" si="5"/>
        <v>6884.1802051575542</v>
      </c>
      <c r="K116" s="17">
        <v>10</v>
      </c>
    </row>
    <row r="117" spans="1:11" x14ac:dyDescent="0.2">
      <c r="A117" s="16">
        <v>55</v>
      </c>
      <c r="B117" s="62">
        <v>8980.3659537253443</v>
      </c>
      <c r="C117" s="63">
        <v>5467750135370.2842</v>
      </c>
      <c r="D117" s="63">
        <v>8805078661477448</v>
      </c>
      <c r="E117" s="63">
        <v>4.0297318497678992E+16</v>
      </c>
      <c r="F117" s="59">
        <v>35974</v>
      </c>
      <c r="G117" s="10">
        <v>2</v>
      </c>
      <c r="H117" s="10">
        <v>1.0000000000000001E-9</v>
      </c>
      <c r="I117" s="107">
        <f t="shared" si="6"/>
        <v>16163.858392693288</v>
      </c>
      <c r="J117" s="59">
        <f t="shared" si="5"/>
        <v>7183.4923976148366</v>
      </c>
      <c r="K117" s="17">
        <v>10</v>
      </c>
    </row>
    <row r="118" spans="1:11" x14ac:dyDescent="0.2">
      <c r="A118" s="16">
        <v>56</v>
      </c>
      <c r="B118" s="62">
        <v>8980.3659265335355</v>
      </c>
      <c r="C118" s="63">
        <v>5467750227695.9072</v>
      </c>
      <c r="D118" s="63">
        <v>8805078661477469</v>
      </c>
      <c r="E118" s="63">
        <v>4.029731917811884E+16</v>
      </c>
      <c r="F118" s="59">
        <v>37482</v>
      </c>
      <c r="G118" s="10">
        <v>2</v>
      </c>
      <c r="H118" s="10">
        <v>1.0000000000000001E-9</v>
      </c>
      <c r="I118" s="107">
        <f t="shared" si="6"/>
        <v>16463.170585150572</v>
      </c>
      <c r="J118" s="59">
        <f t="shared" si="5"/>
        <v>7482.8045900721208</v>
      </c>
      <c r="K118" s="17">
        <v>10</v>
      </c>
    </row>
    <row r="119" spans="1:11" x14ac:dyDescent="0.2">
      <c r="A119" s="16">
        <v>57</v>
      </c>
      <c r="B119" s="62">
        <v>8980.3657409857315</v>
      </c>
      <c r="C119" s="63">
        <v>5467750857695.082</v>
      </c>
      <c r="D119" s="63">
        <v>8805078661477510</v>
      </c>
      <c r="E119" s="63">
        <v>4.0297323821212752E+16</v>
      </c>
      <c r="F119" s="59">
        <v>38980</v>
      </c>
      <c r="G119" s="10">
        <v>2</v>
      </c>
      <c r="H119" s="10">
        <v>1.0000000000000001E-9</v>
      </c>
      <c r="I119" s="107">
        <f t="shared" si="6"/>
        <v>16762.482777607856</v>
      </c>
      <c r="J119" s="59">
        <f t="shared" si="5"/>
        <v>7782.1167825294051</v>
      </c>
      <c r="K119" s="17">
        <v>10</v>
      </c>
    </row>
    <row r="120" spans="1:11" ht="13.5" thickBot="1" x14ac:dyDescent="0.25">
      <c r="A120" s="18">
        <v>58</v>
      </c>
      <c r="B120" s="64">
        <v>8980.3659514739302</v>
      </c>
      <c r="C120" s="65">
        <v>5467750143014.626</v>
      </c>
      <c r="D120" s="65">
        <v>8805078661477466</v>
      </c>
      <c r="E120" s="65">
        <v>4.0297318554017792E+16</v>
      </c>
      <c r="F120" s="60">
        <v>40481</v>
      </c>
      <c r="G120" s="19">
        <v>2</v>
      </c>
      <c r="H120" s="19">
        <v>1.0000000000000001E-9</v>
      </c>
      <c r="I120" s="108">
        <f t="shared" si="6"/>
        <v>17061.794970065141</v>
      </c>
      <c r="J120" s="60">
        <f t="shared" si="5"/>
        <v>8081.4289749866894</v>
      </c>
      <c r="K120" s="20">
        <v>10</v>
      </c>
    </row>
    <row r="122" spans="1:11" ht="13.5" thickBot="1" x14ac:dyDescent="0.25">
      <c r="A122" s="55" t="s">
        <v>61</v>
      </c>
    </row>
    <row r="123" spans="1:11" ht="45.75" thickBot="1" x14ac:dyDescent="0.25">
      <c r="A123" s="56" t="s">
        <v>6</v>
      </c>
      <c r="B123" s="57" t="s">
        <v>7</v>
      </c>
      <c r="C123" s="57" t="s">
        <v>10</v>
      </c>
      <c r="D123" s="57" t="s">
        <v>8</v>
      </c>
      <c r="E123" s="57" t="s">
        <v>11</v>
      </c>
      <c r="F123" s="57" t="s">
        <v>51</v>
      </c>
      <c r="G123" s="57" t="s">
        <v>50</v>
      </c>
      <c r="H123" s="57" t="s">
        <v>15</v>
      </c>
      <c r="I123" s="57" t="s">
        <v>9</v>
      </c>
      <c r="J123" s="57" t="s">
        <v>28</v>
      </c>
      <c r="K123" s="58" t="s">
        <v>34</v>
      </c>
    </row>
    <row r="124" spans="1:11" x14ac:dyDescent="0.2">
      <c r="A124" s="13">
        <v>1</v>
      </c>
      <c r="B124" s="66">
        <v>8980.3656991070948</v>
      </c>
      <c r="C124" s="67">
        <v>5467750999887.6211</v>
      </c>
      <c r="D124" s="67">
        <v>8805078661477545</v>
      </c>
      <c r="E124" s="67">
        <v>4.0297324869171768E+16</v>
      </c>
      <c r="F124" s="24">
        <v>4789</v>
      </c>
      <c r="G124" s="14">
        <v>2</v>
      </c>
      <c r="H124" s="14">
        <v>1.0000000000000001E-9</v>
      </c>
      <c r="I124" s="14">
        <v>1.0000000000304681</v>
      </c>
      <c r="J124" s="24">
        <f t="shared" ref="J124:J182" si="7">ABS(I124-B124)</f>
        <v>8979.3656991070638</v>
      </c>
      <c r="K124" s="15">
        <v>1.2</v>
      </c>
    </row>
    <row r="125" spans="1:11" x14ac:dyDescent="0.2">
      <c r="A125" s="16">
        <v>2</v>
      </c>
      <c r="B125" s="62">
        <v>8980.3658485640353</v>
      </c>
      <c r="C125" s="63">
        <v>5467750492429.415</v>
      </c>
      <c r="D125" s="63">
        <v>8805078661477517</v>
      </c>
      <c r="E125" s="63">
        <v>4.0297321129204792E+16</v>
      </c>
      <c r="F125" s="59">
        <v>4608</v>
      </c>
      <c r="G125" s="10">
        <v>2</v>
      </c>
      <c r="H125" s="10">
        <v>1.0000000000000001E-9</v>
      </c>
      <c r="I125" s="10">
        <v>1.0000000000304681</v>
      </c>
      <c r="J125" s="59">
        <f t="shared" si="7"/>
        <v>8979.3658485640044</v>
      </c>
      <c r="K125" s="17">
        <v>1.5</v>
      </c>
    </row>
    <row r="126" spans="1:11" x14ac:dyDescent="0.2">
      <c r="A126" s="16">
        <v>3</v>
      </c>
      <c r="B126" s="62">
        <v>8980.3655537139184</v>
      </c>
      <c r="C126" s="63">
        <v>5467751493547.9658</v>
      </c>
      <c r="D126" s="63">
        <v>8805078661477474</v>
      </c>
      <c r="E126" s="63">
        <v>4.0297328507448512E+16</v>
      </c>
      <c r="F126" s="59">
        <v>4559</v>
      </c>
      <c r="G126" s="10">
        <v>2</v>
      </c>
      <c r="H126" s="10">
        <v>1.0000000000000001E-9</v>
      </c>
      <c r="I126" s="10">
        <v>1.0000000000304681</v>
      </c>
      <c r="J126" s="59">
        <f t="shared" si="7"/>
        <v>8979.3655537138875</v>
      </c>
      <c r="K126" s="17">
        <v>2</v>
      </c>
    </row>
    <row r="127" spans="1:11" x14ac:dyDescent="0.2">
      <c r="A127" s="16">
        <v>4</v>
      </c>
      <c r="B127" s="62">
        <v>8980.3655537139184</v>
      </c>
      <c r="C127" s="63">
        <v>5467751493547.9658</v>
      </c>
      <c r="D127" s="63">
        <v>8805078661477474</v>
      </c>
      <c r="E127" s="63">
        <v>4.0297328507448512E+16</v>
      </c>
      <c r="F127" s="59">
        <v>4559</v>
      </c>
      <c r="G127" s="10">
        <v>2</v>
      </c>
      <c r="H127" s="10">
        <v>1.0000000000000001E-9</v>
      </c>
      <c r="I127" s="10">
        <v>1.0000000000304681</v>
      </c>
      <c r="J127" s="59">
        <f t="shared" si="7"/>
        <v>8979.3655537138875</v>
      </c>
      <c r="K127" s="17">
        <v>2.5</v>
      </c>
    </row>
    <row r="128" spans="1:11" x14ac:dyDescent="0.2">
      <c r="A128" s="16">
        <v>5</v>
      </c>
      <c r="B128" s="62">
        <v>8980.3659107860949</v>
      </c>
      <c r="C128" s="63">
        <v>5467750281163.9531</v>
      </c>
      <c r="D128" s="63">
        <v>8805078661477516</v>
      </c>
      <c r="E128" s="63">
        <v>4.0297319572178336E+16</v>
      </c>
      <c r="F128" s="59">
        <v>4552</v>
      </c>
      <c r="G128" s="10">
        <v>2</v>
      </c>
      <c r="H128" s="10">
        <v>1.0000000000000001E-9</v>
      </c>
      <c r="I128" s="10">
        <v>1.0000000000304681</v>
      </c>
      <c r="J128" s="59">
        <f t="shared" si="7"/>
        <v>8979.365910786064</v>
      </c>
      <c r="K128" s="17">
        <v>3</v>
      </c>
    </row>
    <row r="129" spans="1:11" x14ac:dyDescent="0.2">
      <c r="A129" s="16">
        <v>6</v>
      </c>
      <c r="B129" s="62">
        <v>8980.3656802670539</v>
      </c>
      <c r="C129" s="63">
        <v>5467751063856.0889</v>
      </c>
      <c r="D129" s="63">
        <v>8805078661477518</v>
      </c>
      <c r="E129" s="63">
        <v>4.0297325340619376E+16</v>
      </c>
      <c r="F129" s="59">
        <v>4550</v>
      </c>
      <c r="G129" s="10">
        <v>2</v>
      </c>
      <c r="H129" s="10">
        <v>1.0000000000000001E-9</v>
      </c>
      <c r="I129" s="10">
        <v>1.0000000000304681</v>
      </c>
      <c r="J129" s="59">
        <f t="shared" si="7"/>
        <v>8979.365680267023</v>
      </c>
      <c r="K129" s="17">
        <v>3.5</v>
      </c>
    </row>
    <row r="130" spans="1:11" x14ac:dyDescent="0.2">
      <c r="A130" s="16">
        <v>7</v>
      </c>
      <c r="B130" s="62">
        <v>8980.3654893841904</v>
      </c>
      <c r="C130" s="63">
        <v>5467751711969.7373</v>
      </c>
      <c r="D130" s="63">
        <v>8805078661477391</v>
      </c>
      <c r="E130" s="63">
        <v>4.029733011721696E+16</v>
      </c>
      <c r="F130" s="59">
        <v>4573</v>
      </c>
      <c r="G130" s="10">
        <v>2</v>
      </c>
      <c r="H130" s="10">
        <v>1.0000000000000001E-9</v>
      </c>
      <c r="I130" s="10">
        <v>1.0000000000304681</v>
      </c>
      <c r="J130" s="59">
        <f t="shared" si="7"/>
        <v>8979.3654893841594</v>
      </c>
      <c r="K130" s="17">
        <v>4</v>
      </c>
    </row>
    <row r="131" spans="1:11" x14ac:dyDescent="0.2">
      <c r="A131" s="16">
        <v>8</v>
      </c>
      <c r="B131" s="62">
        <v>8980.365838791995</v>
      </c>
      <c r="C131" s="63">
        <v>5467750525608.8877</v>
      </c>
      <c r="D131" s="63">
        <v>8805078661477528</v>
      </c>
      <c r="E131" s="63">
        <v>4.0297321373737504E+16</v>
      </c>
      <c r="F131" s="59">
        <v>4546</v>
      </c>
      <c r="G131" s="10">
        <v>2</v>
      </c>
      <c r="H131" s="10">
        <v>1.0000000000000001E-9</v>
      </c>
      <c r="I131" s="10">
        <v>1.0000000000304681</v>
      </c>
      <c r="J131" s="59">
        <f t="shared" si="7"/>
        <v>8979.3658387919641</v>
      </c>
      <c r="K131" s="17">
        <v>4.5</v>
      </c>
    </row>
    <row r="132" spans="1:11" x14ac:dyDescent="0.2">
      <c r="A132" s="16">
        <v>9</v>
      </c>
      <c r="B132" s="62">
        <v>8980.3657941082383</v>
      </c>
      <c r="C132" s="63">
        <v>5467750677325.7461</v>
      </c>
      <c r="D132" s="63">
        <v>8805078661477533</v>
      </c>
      <c r="E132" s="63">
        <v>4.0297322491890752E+16</v>
      </c>
      <c r="F132" s="59">
        <v>4553</v>
      </c>
      <c r="G132" s="10">
        <v>2</v>
      </c>
      <c r="H132" s="10">
        <v>1.0000000000000001E-9</v>
      </c>
      <c r="I132" s="10">
        <v>1.0000000000304681</v>
      </c>
      <c r="J132" s="59">
        <f t="shared" si="7"/>
        <v>8979.3657941082074</v>
      </c>
      <c r="K132" s="17">
        <v>5</v>
      </c>
    </row>
    <row r="133" spans="1:11" x14ac:dyDescent="0.2">
      <c r="A133" s="16">
        <v>10</v>
      </c>
      <c r="B133" s="62">
        <v>8980.3656632355414</v>
      </c>
      <c r="C133" s="63">
        <v>5467751121684.0078</v>
      </c>
      <c r="D133" s="63">
        <v>8805078661477543</v>
      </c>
      <c r="E133" s="63">
        <v>4.0297325766811136E+16</v>
      </c>
      <c r="F133" s="59">
        <v>4545</v>
      </c>
      <c r="G133" s="10">
        <v>2</v>
      </c>
      <c r="H133" s="10">
        <v>1.0000000000000001E-9</v>
      </c>
      <c r="I133" s="10">
        <v>1.0000000000304681</v>
      </c>
      <c r="J133" s="59">
        <f t="shared" si="7"/>
        <v>8979.3656632355105</v>
      </c>
      <c r="K133" s="17">
        <v>5.5</v>
      </c>
    </row>
    <row r="134" spans="1:11" x14ac:dyDescent="0.2">
      <c r="A134" s="16">
        <v>11</v>
      </c>
      <c r="B134" s="62">
        <v>8980.3654698951323</v>
      </c>
      <c r="C134" s="63">
        <v>5467751778141.8633</v>
      </c>
      <c r="D134" s="63">
        <v>8805078661477367</v>
      </c>
      <c r="E134" s="63">
        <v>4.0297330604905536E+16</v>
      </c>
      <c r="F134" s="59">
        <v>4553</v>
      </c>
      <c r="G134" s="10">
        <v>2</v>
      </c>
      <c r="H134" s="10">
        <v>1.0000000000000001E-9</v>
      </c>
      <c r="I134" s="10">
        <v>1.0000000000304681</v>
      </c>
      <c r="J134" s="59">
        <f t="shared" si="7"/>
        <v>8979.3654698951013</v>
      </c>
      <c r="K134" s="17">
        <v>6</v>
      </c>
    </row>
    <row r="135" spans="1:11" x14ac:dyDescent="0.2">
      <c r="A135" s="16">
        <v>12</v>
      </c>
      <c r="B135" s="62">
        <v>8980.3657574604113</v>
      </c>
      <c r="C135" s="63">
        <v>5467750801757.835</v>
      </c>
      <c r="D135" s="63">
        <v>8805078661477527</v>
      </c>
      <c r="E135" s="63">
        <v>4.029732340895524E+16</v>
      </c>
      <c r="F135" s="59">
        <v>4547</v>
      </c>
      <c r="G135" s="10">
        <v>2</v>
      </c>
      <c r="H135" s="10">
        <v>1.0000000000000001E-9</v>
      </c>
      <c r="I135" s="10">
        <v>1.0000000000304681</v>
      </c>
      <c r="J135" s="59">
        <f t="shared" si="7"/>
        <v>8979.3657574603803</v>
      </c>
      <c r="K135" s="17">
        <v>6.5</v>
      </c>
    </row>
    <row r="136" spans="1:11" x14ac:dyDescent="0.2">
      <c r="A136" s="16">
        <v>13</v>
      </c>
      <c r="B136" s="62">
        <v>8980.365803174227</v>
      </c>
      <c r="C136" s="63">
        <v>5467750646543.5547</v>
      </c>
      <c r="D136" s="63">
        <v>8805078661477511</v>
      </c>
      <c r="E136" s="63">
        <v>4.0297322265026E+16</v>
      </c>
      <c r="F136" s="59">
        <v>4558</v>
      </c>
      <c r="G136" s="10">
        <v>2</v>
      </c>
      <c r="H136" s="10">
        <v>1.0000000000000001E-9</v>
      </c>
      <c r="I136" s="10">
        <v>1.0000000000304681</v>
      </c>
      <c r="J136" s="59">
        <f t="shared" si="7"/>
        <v>8979.3658031741961</v>
      </c>
      <c r="K136" s="17">
        <v>7</v>
      </c>
    </row>
    <row r="137" spans="1:11" x14ac:dyDescent="0.2">
      <c r="A137" s="16">
        <v>14</v>
      </c>
      <c r="B137" s="62">
        <v>8980.3659878094877</v>
      </c>
      <c r="C137" s="63">
        <v>5467750019642.8262</v>
      </c>
      <c r="D137" s="63">
        <v>8805078661477466</v>
      </c>
      <c r="E137" s="63">
        <v>4.0297317644767632E+16</v>
      </c>
      <c r="F137" s="59">
        <v>4539</v>
      </c>
      <c r="G137" s="10">
        <v>2</v>
      </c>
      <c r="H137" s="10">
        <v>1.0000000000000001E-9</v>
      </c>
      <c r="I137" s="10">
        <v>1.0000000000304681</v>
      </c>
      <c r="J137" s="59">
        <f t="shared" si="7"/>
        <v>8979.3659878094568</v>
      </c>
      <c r="K137" s="17">
        <v>7.5</v>
      </c>
    </row>
    <row r="138" spans="1:11" x14ac:dyDescent="0.2">
      <c r="A138" s="16">
        <v>15</v>
      </c>
      <c r="B138" s="62">
        <v>8980.3660948144116</v>
      </c>
      <c r="C138" s="63">
        <v>5467749656324.0234</v>
      </c>
      <c r="D138" s="63">
        <v>8805078661477359</v>
      </c>
      <c r="E138" s="63">
        <v>4.0297314967108056E+16</v>
      </c>
      <c r="F138" s="59">
        <v>4543</v>
      </c>
      <c r="G138" s="10">
        <v>2</v>
      </c>
      <c r="H138" s="10">
        <v>1.0000000000000001E-9</v>
      </c>
      <c r="I138" s="10">
        <v>1.0000000000304681</v>
      </c>
      <c r="J138" s="59">
        <f t="shared" si="7"/>
        <v>8979.3660948143806</v>
      </c>
      <c r="K138" s="17">
        <v>8</v>
      </c>
    </row>
    <row r="139" spans="1:11" x14ac:dyDescent="0.2">
      <c r="A139" s="16">
        <v>16</v>
      </c>
      <c r="B139" s="62">
        <v>8980.3662343237556</v>
      </c>
      <c r="C139" s="63">
        <v>5467749182641.5322</v>
      </c>
      <c r="D139" s="63">
        <v>8805078661477237</v>
      </c>
      <c r="E139" s="63">
        <v>4.0297311476068096E+16</v>
      </c>
      <c r="F139" s="59">
        <v>4544</v>
      </c>
      <c r="G139" s="10">
        <v>2</v>
      </c>
      <c r="H139" s="10">
        <v>1.0000000000000001E-9</v>
      </c>
      <c r="I139" s="10">
        <v>1.0000000000304681</v>
      </c>
      <c r="J139" s="59">
        <f t="shared" si="7"/>
        <v>8979.3662343237247</v>
      </c>
      <c r="K139" s="17">
        <v>8.5</v>
      </c>
    </row>
    <row r="140" spans="1:11" x14ac:dyDescent="0.2">
      <c r="A140" s="16">
        <v>17</v>
      </c>
      <c r="B140" s="62">
        <v>8980.3658216122367</v>
      </c>
      <c r="C140" s="63">
        <v>5467750583940.1123</v>
      </c>
      <c r="D140" s="63">
        <v>8805078661477506</v>
      </c>
      <c r="E140" s="63">
        <v>4.0297321803638624E+16</v>
      </c>
      <c r="F140" s="59">
        <v>4545</v>
      </c>
      <c r="G140" s="10">
        <v>2</v>
      </c>
      <c r="H140" s="10">
        <v>1.0000000000000001E-9</v>
      </c>
      <c r="I140" s="10">
        <v>1.0000000000304681</v>
      </c>
      <c r="J140" s="59">
        <f t="shared" si="7"/>
        <v>8979.3658216122058</v>
      </c>
      <c r="K140" s="17">
        <v>9</v>
      </c>
    </row>
    <row r="141" spans="1:11" x14ac:dyDescent="0.2">
      <c r="A141" s="16">
        <v>18</v>
      </c>
      <c r="B141" s="62">
        <v>8980.3659447308746</v>
      </c>
      <c r="C141" s="63">
        <v>5467750165909.6553</v>
      </c>
      <c r="D141" s="63">
        <v>8805078661477498</v>
      </c>
      <c r="E141" s="63">
        <v>4.029731872275416E+16</v>
      </c>
      <c r="F141" s="59">
        <v>4551</v>
      </c>
      <c r="G141" s="10">
        <v>2</v>
      </c>
      <c r="H141" s="10">
        <v>1.0000000000000001E-9</v>
      </c>
      <c r="I141" s="10">
        <v>1.0000000000304681</v>
      </c>
      <c r="J141" s="59">
        <f t="shared" si="7"/>
        <v>8979.3659447308437</v>
      </c>
      <c r="K141" s="17">
        <v>9.5</v>
      </c>
    </row>
    <row r="142" spans="1:11" x14ac:dyDescent="0.2">
      <c r="A142" s="16">
        <v>19</v>
      </c>
      <c r="B142" s="62">
        <v>8980.365983616226</v>
      </c>
      <c r="C142" s="63">
        <v>5467750033880.4033</v>
      </c>
      <c r="D142" s="63">
        <v>8805078661477469</v>
      </c>
      <c r="E142" s="63">
        <v>4.0297317749698576E+16</v>
      </c>
      <c r="F142" s="59">
        <v>4541</v>
      </c>
      <c r="G142" s="10">
        <v>2</v>
      </c>
      <c r="H142" s="10">
        <v>1.0000000000000001E-9</v>
      </c>
      <c r="I142" s="10">
        <v>1.0000000000304681</v>
      </c>
      <c r="J142" s="59">
        <f t="shared" si="7"/>
        <v>8979.3659836161951</v>
      </c>
      <c r="K142" s="17">
        <v>10</v>
      </c>
    </row>
    <row r="143" spans="1:11" x14ac:dyDescent="0.2">
      <c r="A143" s="16">
        <v>20</v>
      </c>
      <c r="B143" s="62">
        <v>8980.3659534787876</v>
      </c>
      <c r="C143" s="63">
        <v>5467750136207.4385</v>
      </c>
      <c r="D143" s="63">
        <v>8805078661477462</v>
      </c>
      <c r="E143" s="63">
        <v>4.0297318503848824E+16</v>
      </c>
      <c r="F143" s="59">
        <v>4553</v>
      </c>
      <c r="G143" s="10">
        <v>2</v>
      </c>
      <c r="H143" s="10">
        <v>1.0000000000000001E-9</v>
      </c>
      <c r="I143" s="10">
        <v>1.0000000000304681</v>
      </c>
      <c r="J143" s="59">
        <f t="shared" si="7"/>
        <v>8979.3659534787566</v>
      </c>
      <c r="K143" s="17">
        <v>10.5</v>
      </c>
    </row>
    <row r="144" spans="1:11" x14ac:dyDescent="0.2">
      <c r="A144" s="16">
        <v>21</v>
      </c>
      <c r="B144" s="62">
        <v>8980.3658358386783</v>
      </c>
      <c r="C144" s="63">
        <v>5467750535636.4102</v>
      </c>
      <c r="D144" s="63">
        <v>8805078661477509</v>
      </c>
      <c r="E144" s="63">
        <v>4.0297321447640344E+16</v>
      </c>
      <c r="F144" s="59">
        <v>4558</v>
      </c>
      <c r="G144" s="10">
        <v>2</v>
      </c>
      <c r="H144" s="10">
        <v>1.0000000000000001E-9</v>
      </c>
      <c r="I144" s="10">
        <v>1.0000000000304681</v>
      </c>
      <c r="J144" s="59">
        <f t="shared" si="7"/>
        <v>8979.3658358386474</v>
      </c>
      <c r="K144" s="17">
        <v>11</v>
      </c>
    </row>
    <row r="145" spans="1:11" x14ac:dyDescent="0.2">
      <c r="A145" s="16">
        <v>22</v>
      </c>
      <c r="B145" s="62">
        <v>8980.3659221880916</v>
      </c>
      <c r="C145" s="63">
        <v>5467750242450.2002</v>
      </c>
      <c r="D145" s="63">
        <v>8805078661477478</v>
      </c>
      <c r="E145" s="63">
        <v>4.0297319286857976E+16</v>
      </c>
      <c r="F145" s="59">
        <v>4561</v>
      </c>
      <c r="G145" s="10">
        <v>2</v>
      </c>
      <c r="H145" s="10">
        <v>1.0000000000000001E-9</v>
      </c>
      <c r="I145" s="10">
        <v>1.0000000000304681</v>
      </c>
      <c r="J145" s="59">
        <f t="shared" si="7"/>
        <v>8979.3659221880607</v>
      </c>
      <c r="K145" s="17">
        <v>11.5</v>
      </c>
    </row>
    <row r="146" spans="1:11" x14ac:dyDescent="0.2">
      <c r="A146" s="16">
        <v>23</v>
      </c>
      <c r="B146" s="62">
        <v>8980.365998732399</v>
      </c>
      <c r="C146" s="63">
        <v>5467749982555.7529</v>
      </c>
      <c r="D146" s="63">
        <v>8805078661477452</v>
      </c>
      <c r="E146" s="63">
        <v>4.0297317371435896E+16</v>
      </c>
      <c r="F146" s="59">
        <v>4567</v>
      </c>
      <c r="G146" s="10">
        <v>2</v>
      </c>
      <c r="H146" s="10">
        <v>1.0000000000000001E-9</v>
      </c>
      <c r="I146" s="10">
        <v>1.0000000000304681</v>
      </c>
      <c r="J146" s="59">
        <f t="shared" si="7"/>
        <v>8979.3659987323681</v>
      </c>
      <c r="K146" s="17">
        <v>12</v>
      </c>
    </row>
    <row r="147" spans="1:11" x14ac:dyDescent="0.2">
      <c r="A147" s="16">
        <v>24</v>
      </c>
      <c r="B147" s="62">
        <v>8980.3658749510378</v>
      </c>
      <c r="C147" s="63">
        <v>5467750402836.3906</v>
      </c>
      <c r="D147" s="63">
        <v>8805078661477513</v>
      </c>
      <c r="E147" s="63">
        <v>4.02973204689042E+16</v>
      </c>
      <c r="F147" s="59">
        <v>4555</v>
      </c>
      <c r="G147" s="10">
        <v>2</v>
      </c>
      <c r="H147" s="10">
        <v>1.0000000000000001E-9</v>
      </c>
      <c r="I147" s="10">
        <v>1.0000000000304681</v>
      </c>
      <c r="J147" s="59">
        <f t="shared" si="7"/>
        <v>8979.3658749510068</v>
      </c>
      <c r="K147" s="17">
        <v>12.5</v>
      </c>
    </row>
    <row r="148" spans="1:11" x14ac:dyDescent="0.2">
      <c r="A148" s="16">
        <v>25</v>
      </c>
      <c r="B148" s="62">
        <v>8980.3656284541903</v>
      </c>
      <c r="C148" s="63">
        <v>5467751239778.7793</v>
      </c>
      <c r="D148" s="63">
        <v>8805078661477532</v>
      </c>
      <c r="E148" s="63">
        <v>4.02973266371696E+16</v>
      </c>
      <c r="F148" s="59">
        <v>4556</v>
      </c>
      <c r="G148" s="10">
        <v>2</v>
      </c>
      <c r="H148" s="10">
        <v>1.0000000000000001E-9</v>
      </c>
      <c r="I148" s="10">
        <v>1.0000000000304681</v>
      </c>
      <c r="J148" s="59">
        <f t="shared" si="7"/>
        <v>8979.3656284541594</v>
      </c>
      <c r="K148" s="17">
        <v>13</v>
      </c>
    </row>
    <row r="149" spans="1:11" x14ac:dyDescent="0.2">
      <c r="A149" s="16">
        <v>26</v>
      </c>
      <c r="B149" s="62">
        <v>8980.3657178679168</v>
      </c>
      <c r="C149" s="63">
        <v>5467750936188.1172</v>
      </c>
      <c r="D149" s="63">
        <v>8805078661477552</v>
      </c>
      <c r="E149" s="63">
        <v>4.0297324399706424E+16</v>
      </c>
      <c r="F149" s="59">
        <v>4554</v>
      </c>
      <c r="G149" s="10">
        <v>2</v>
      </c>
      <c r="H149" s="10">
        <v>1.0000000000000001E-9</v>
      </c>
      <c r="I149" s="10">
        <v>1.0000000000304681</v>
      </c>
      <c r="J149" s="59">
        <f t="shared" si="7"/>
        <v>8979.3657178678859</v>
      </c>
      <c r="K149" s="17">
        <v>13.5</v>
      </c>
    </row>
    <row r="150" spans="1:11" x14ac:dyDescent="0.2">
      <c r="A150" s="16">
        <v>27</v>
      </c>
      <c r="B150" s="62">
        <v>8980.3655658982825</v>
      </c>
      <c r="C150" s="63">
        <v>5467751452177.7861</v>
      </c>
      <c r="D150" s="63">
        <v>8805078661477437</v>
      </c>
      <c r="E150" s="63">
        <v>4.029732820255028E+16</v>
      </c>
      <c r="F150" s="59">
        <v>4554</v>
      </c>
      <c r="G150" s="10">
        <v>2</v>
      </c>
      <c r="H150" s="10">
        <v>1.0000000000000001E-9</v>
      </c>
      <c r="I150" s="10">
        <v>1.0000000000304681</v>
      </c>
      <c r="J150" s="59">
        <f t="shared" si="7"/>
        <v>8979.3655658982516</v>
      </c>
      <c r="K150" s="17">
        <v>14</v>
      </c>
    </row>
    <row r="151" spans="1:11" x14ac:dyDescent="0.2">
      <c r="A151" s="16">
        <v>28</v>
      </c>
      <c r="B151" s="62">
        <v>8980.3654511494406</v>
      </c>
      <c r="C151" s="63">
        <v>5467751841790.0166</v>
      </c>
      <c r="D151" s="63">
        <v>8805078661477365</v>
      </c>
      <c r="E151" s="63">
        <v>4.0297331073992424E+16</v>
      </c>
      <c r="F151" s="59">
        <v>4553</v>
      </c>
      <c r="G151" s="10">
        <v>2</v>
      </c>
      <c r="H151" s="10">
        <v>1.0000000000000001E-9</v>
      </c>
      <c r="I151" s="10">
        <v>1.0000000000304681</v>
      </c>
      <c r="J151" s="59">
        <f t="shared" si="7"/>
        <v>8979.3654511494096</v>
      </c>
      <c r="K151" s="17">
        <v>14.5</v>
      </c>
    </row>
    <row r="152" spans="1:11" x14ac:dyDescent="0.2">
      <c r="A152" s="16">
        <v>29</v>
      </c>
      <c r="B152" s="74">
        <v>8980.3655627758653</v>
      </c>
      <c r="C152" s="75">
        <v>5467751462779.5234</v>
      </c>
      <c r="D152" s="75">
        <v>8805078661477508</v>
      </c>
      <c r="E152" s="75">
        <v>4.0297328280685088E+16</v>
      </c>
      <c r="F152" s="76">
        <v>4571</v>
      </c>
      <c r="G152" s="10">
        <v>2</v>
      </c>
      <c r="H152" s="10">
        <v>1.0000000000000001E-9</v>
      </c>
      <c r="I152" s="10">
        <v>1.0000000000304681</v>
      </c>
      <c r="J152" s="59">
        <f t="shared" si="7"/>
        <v>8979.3655627758344</v>
      </c>
      <c r="K152" s="17">
        <v>15</v>
      </c>
    </row>
    <row r="153" spans="1:11" x14ac:dyDescent="0.2">
      <c r="A153" s="16">
        <v>30</v>
      </c>
      <c r="B153" s="68">
        <v>8980.3654221134111</v>
      </c>
      <c r="C153" s="69">
        <v>5467751940377.4316</v>
      </c>
      <c r="D153" s="69">
        <v>8805078661477325</v>
      </c>
      <c r="E153" s="69">
        <v>4.0297331800581672E+16</v>
      </c>
      <c r="F153" s="70">
        <v>4555</v>
      </c>
      <c r="G153" s="10">
        <v>2</v>
      </c>
      <c r="H153" s="10">
        <v>1.0000000000000001E-9</v>
      </c>
      <c r="I153" s="10">
        <v>1.0000000000304681</v>
      </c>
      <c r="J153" s="59">
        <f t="shared" si="7"/>
        <v>8979.3654221133802</v>
      </c>
      <c r="K153" s="17">
        <v>15.5</v>
      </c>
    </row>
    <row r="154" spans="1:11" x14ac:dyDescent="0.2">
      <c r="A154" s="16">
        <v>31</v>
      </c>
      <c r="B154" s="74">
        <v>8980.365599148472</v>
      </c>
      <c r="C154" s="75">
        <v>5467751339281.8564</v>
      </c>
      <c r="D154" s="75">
        <v>8805078661477487</v>
      </c>
      <c r="E154" s="75">
        <v>4.029732737050728E+16</v>
      </c>
      <c r="F154" s="76">
        <v>4568</v>
      </c>
      <c r="G154" s="10">
        <v>2</v>
      </c>
      <c r="H154" s="10">
        <v>1.0000000000000001E-9</v>
      </c>
      <c r="I154" s="10">
        <v>1.0000000000304681</v>
      </c>
      <c r="J154" s="59">
        <f t="shared" si="7"/>
        <v>8979.3655991484411</v>
      </c>
      <c r="K154" s="17">
        <v>16</v>
      </c>
    </row>
    <row r="155" spans="1:11" x14ac:dyDescent="0.2">
      <c r="A155" s="16">
        <v>32</v>
      </c>
      <c r="B155" s="62">
        <v>8980.3653003773961</v>
      </c>
      <c r="C155" s="63">
        <v>5467752353713.6152</v>
      </c>
      <c r="D155" s="63">
        <v>8805078661477241</v>
      </c>
      <c r="E155" s="63">
        <v>4.0297334846869344E+16</v>
      </c>
      <c r="F155" s="59">
        <v>4566</v>
      </c>
      <c r="G155" s="10">
        <v>2</v>
      </c>
      <c r="H155" s="10">
        <v>1.0000000000000001E-9</v>
      </c>
      <c r="I155" s="10">
        <v>1.0000000000304681</v>
      </c>
      <c r="J155" s="59">
        <f t="shared" si="7"/>
        <v>8979.3653003773652</v>
      </c>
      <c r="K155" s="17">
        <v>16.5</v>
      </c>
    </row>
    <row r="156" spans="1:11" x14ac:dyDescent="0.2">
      <c r="A156" s="16">
        <v>33</v>
      </c>
      <c r="B156" s="93">
        <v>8980.3654263894186</v>
      </c>
      <c r="C156" s="94">
        <v>5467751925858.9209</v>
      </c>
      <c r="D156" s="94">
        <v>8805078661477366</v>
      </c>
      <c r="E156" s="94">
        <v>4.0297331693580248E+16</v>
      </c>
      <c r="F156" s="95">
        <v>4553</v>
      </c>
      <c r="G156" s="1">
        <v>2</v>
      </c>
      <c r="H156" s="10">
        <v>1.0000000000000001E-9</v>
      </c>
      <c r="I156" s="10">
        <v>1.0000000000304681</v>
      </c>
      <c r="J156" s="59">
        <f t="shared" si="7"/>
        <v>8979.3654263893877</v>
      </c>
      <c r="K156" s="17">
        <v>17</v>
      </c>
    </row>
    <row r="157" spans="1:11" x14ac:dyDescent="0.2">
      <c r="A157" s="16">
        <v>34</v>
      </c>
      <c r="B157" s="62">
        <v>8980.365406066996</v>
      </c>
      <c r="C157" s="63">
        <v>5467751994860.625</v>
      </c>
      <c r="D157" s="63">
        <v>8805078661477358</v>
      </c>
      <c r="E157" s="63">
        <v>4.0297332202122808E+16</v>
      </c>
      <c r="F157" s="59">
        <v>4566</v>
      </c>
      <c r="G157" s="10">
        <v>2</v>
      </c>
      <c r="H157" s="10">
        <v>1.0000000000000001E-9</v>
      </c>
      <c r="I157" s="10">
        <v>1.0000000000304681</v>
      </c>
      <c r="J157" s="59">
        <f t="shared" si="7"/>
        <v>8979.3654060669651</v>
      </c>
      <c r="K157" s="17">
        <v>17.5</v>
      </c>
    </row>
    <row r="158" spans="1:11" x14ac:dyDescent="0.2">
      <c r="A158" s="16">
        <v>35</v>
      </c>
      <c r="B158" s="93">
        <v>8980.365586489057</v>
      </c>
      <c r="C158" s="94">
        <v>5467751382264.9619</v>
      </c>
      <c r="D158" s="94">
        <v>8805078661477468</v>
      </c>
      <c r="E158" s="94">
        <v>4.0297327687292768E+16</v>
      </c>
      <c r="F158" s="95">
        <v>4566</v>
      </c>
      <c r="G158" s="1">
        <v>2</v>
      </c>
      <c r="H158" s="10">
        <v>1.0000000000000001E-9</v>
      </c>
      <c r="I158" s="10">
        <v>1.0000000000304681</v>
      </c>
      <c r="J158" s="59">
        <f t="shared" si="7"/>
        <v>8979.3655864890261</v>
      </c>
      <c r="K158" s="17">
        <v>18</v>
      </c>
    </row>
    <row r="159" spans="1:11" x14ac:dyDescent="0.2">
      <c r="A159" s="16">
        <v>36</v>
      </c>
      <c r="B159" s="62">
        <v>8980.3653817173636</v>
      </c>
      <c r="C159" s="63">
        <v>5467752077536.0732</v>
      </c>
      <c r="D159" s="63">
        <v>8805078661477286</v>
      </c>
      <c r="E159" s="63">
        <v>4.0297332811440856E+16</v>
      </c>
      <c r="F159" s="59">
        <v>4563</v>
      </c>
      <c r="G159" s="10">
        <v>2</v>
      </c>
      <c r="H159" s="10">
        <v>1.0000000000000001E-9</v>
      </c>
      <c r="I159" s="10">
        <v>1.0000000000304681</v>
      </c>
      <c r="J159" s="59">
        <f t="shared" si="7"/>
        <v>8979.3653817173326</v>
      </c>
      <c r="K159" s="17">
        <v>18.5</v>
      </c>
    </row>
    <row r="160" spans="1:11" x14ac:dyDescent="0.2">
      <c r="A160" s="16">
        <v>37</v>
      </c>
      <c r="B160" s="93">
        <v>8980.3655189474666</v>
      </c>
      <c r="C160" s="94">
        <v>5467751611592.1621</v>
      </c>
      <c r="D160" s="94">
        <v>8805078661477459</v>
      </c>
      <c r="E160" s="94">
        <v>4.0297329377434232E+16</v>
      </c>
      <c r="F160" s="95">
        <v>4573</v>
      </c>
      <c r="G160" s="1">
        <v>2</v>
      </c>
      <c r="H160" s="10">
        <v>1.0000000000000001E-9</v>
      </c>
      <c r="I160" s="10">
        <v>1.0000000000304681</v>
      </c>
      <c r="J160" s="59">
        <f t="shared" si="7"/>
        <v>8979.3655189474357</v>
      </c>
      <c r="K160" s="17">
        <v>19</v>
      </c>
    </row>
    <row r="161" spans="1:11" x14ac:dyDescent="0.2">
      <c r="A161" s="16">
        <v>38</v>
      </c>
      <c r="B161" s="62">
        <v>8980.3655386286318</v>
      </c>
      <c r="C161" s="63">
        <v>5467751544767.7334</v>
      </c>
      <c r="D161" s="63">
        <v>8805078661477425</v>
      </c>
      <c r="E161" s="63">
        <v>4.0297328884938192E+16</v>
      </c>
      <c r="F161" s="59">
        <v>4583</v>
      </c>
      <c r="G161" s="10">
        <v>2</v>
      </c>
      <c r="H161" s="10">
        <v>1.0000000000000001E-9</v>
      </c>
      <c r="I161" s="10">
        <v>1.0000000000304681</v>
      </c>
      <c r="J161" s="59">
        <f t="shared" si="7"/>
        <v>8979.3655386286009</v>
      </c>
      <c r="K161" s="17">
        <v>19.5</v>
      </c>
    </row>
    <row r="162" spans="1:11" x14ac:dyDescent="0.2">
      <c r="A162" s="16">
        <v>39</v>
      </c>
      <c r="B162" s="93">
        <v>8980.3657732453412</v>
      </c>
      <c r="C162" s="94">
        <v>5467750748162.5088</v>
      </c>
      <c r="D162" s="94">
        <v>8805078661477511</v>
      </c>
      <c r="E162" s="94">
        <v>4.0297323013957688E+16</v>
      </c>
      <c r="F162" s="95">
        <v>4562</v>
      </c>
      <c r="G162" s="1">
        <v>2</v>
      </c>
      <c r="H162" s="10">
        <v>1.0000000000000001E-9</v>
      </c>
      <c r="I162" s="10">
        <v>1.0000000000304681</v>
      </c>
      <c r="J162" s="59">
        <f t="shared" si="7"/>
        <v>8979.3657732453103</v>
      </c>
      <c r="K162" s="17">
        <v>20</v>
      </c>
    </row>
    <row r="163" spans="1:11" x14ac:dyDescent="0.2">
      <c r="A163" s="16">
        <v>40</v>
      </c>
      <c r="B163" s="62">
        <v>8980.3654690454896</v>
      </c>
      <c r="C163" s="63">
        <v>5467751781026.6846</v>
      </c>
      <c r="D163" s="63">
        <v>8805078661477348</v>
      </c>
      <c r="E163" s="63">
        <v>4.0297330626166664E+16</v>
      </c>
      <c r="F163" s="59">
        <v>4563</v>
      </c>
      <c r="G163" s="10">
        <v>2</v>
      </c>
      <c r="H163" s="10">
        <v>1.0000000000000001E-9</v>
      </c>
      <c r="I163" s="10">
        <v>1.0000000000304681</v>
      </c>
      <c r="J163" s="59">
        <f t="shared" si="7"/>
        <v>8979.3654690454587</v>
      </c>
      <c r="K163" s="17">
        <v>20.5</v>
      </c>
    </row>
    <row r="164" spans="1:11" x14ac:dyDescent="0.2">
      <c r="A164" s="16">
        <v>41</v>
      </c>
      <c r="B164" s="93">
        <v>8980.3655309853657</v>
      </c>
      <c r="C164" s="94">
        <v>5467751570719.3096</v>
      </c>
      <c r="D164" s="94">
        <v>8805078661477468</v>
      </c>
      <c r="E164" s="94">
        <v>4.0297329076201312E+16</v>
      </c>
      <c r="F164" s="95">
        <v>4581</v>
      </c>
      <c r="G164" s="1">
        <v>2</v>
      </c>
      <c r="H164" s="10">
        <v>1.0000000000000001E-9</v>
      </c>
      <c r="I164" s="10">
        <v>1.0000000000304681</v>
      </c>
      <c r="J164" s="59">
        <f t="shared" si="7"/>
        <v>8979.3655309853348</v>
      </c>
      <c r="K164" s="17">
        <v>21</v>
      </c>
    </row>
    <row r="165" spans="1:11" x14ac:dyDescent="0.2">
      <c r="A165" s="16">
        <v>42</v>
      </c>
      <c r="B165" s="62">
        <v>8980.3655230998957</v>
      </c>
      <c r="C165" s="63">
        <v>5467751597493.1992</v>
      </c>
      <c r="D165" s="63">
        <v>8805078661477426</v>
      </c>
      <c r="E165" s="63">
        <v>4.029732927352488E+16</v>
      </c>
      <c r="F165" s="59">
        <v>4574</v>
      </c>
      <c r="G165" s="10">
        <v>2</v>
      </c>
      <c r="H165" s="10">
        <v>1.0000000000000001E-9</v>
      </c>
      <c r="I165" s="10">
        <v>1.0000000000304681</v>
      </c>
      <c r="J165" s="59">
        <f t="shared" si="7"/>
        <v>8979.3655230998647</v>
      </c>
      <c r="K165" s="17">
        <v>21.5</v>
      </c>
    </row>
    <row r="166" spans="1:11" x14ac:dyDescent="0.2">
      <c r="A166" s="16">
        <v>43</v>
      </c>
      <c r="B166" s="93">
        <v>8980.3655220417149</v>
      </c>
      <c r="C166" s="94">
        <v>5467751601086.0742</v>
      </c>
      <c r="D166" s="94">
        <v>8805078661477399</v>
      </c>
      <c r="E166" s="94">
        <v>4.0297329300004368E+16</v>
      </c>
      <c r="F166" s="95">
        <v>4584</v>
      </c>
      <c r="G166" s="1">
        <v>2</v>
      </c>
      <c r="H166" s="10">
        <v>1.0000000000000001E-9</v>
      </c>
      <c r="I166" s="10">
        <v>1.0000000000304681</v>
      </c>
      <c r="J166" s="59">
        <f t="shared" si="7"/>
        <v>8979.365522041684</v>
      </c>
      <c r="K166" s="17">
        <v>22</v>
      </c>
    </row>
    <row r="167" spans="1:11" x14ac:dyDescent="0.2">
      <c r="A167" s="16">
        <v>44</v>
      </c>
      <c r="B167" s="62">
        <v>8980.365619469394</v>
      </c>
      <c r="C167" s="63">
        <v>5467751270285.249</v>
      </c>
      <c r="D167" s="63">
        <v>8805078661477471</v>
      </c>
      <c r="E167" s="63">
        <v>4.0297326862002288E+16</v>
      </c>
      <c r="F167" s="59">
        <v>4595</v>
      </c>
      <c r="G167" s="10">
        <v>2</v>
      </c>
      <c r="H167" s="10">
        <v>1.0000000000000001E-9</v>
      </c>
      <c r="I167" s="10">
        <v>1.0000000000304681</v>
      </c>
      <c r="J167" s="59">
        <f t="shared" si="7"/>
        <v>8979.3656194693631</v>
      </c>
      <c r="K167" s="17">
        <v>22.5</v>
      </c>
    </row>
    <row r="168" spans="1:11" x14ac:dyDescent="0.2">
      <c r="A168" s="16">
        <v>45</v>
      </c>
      <c r="B168" s="93">
        <v>8980.365667752536</v>
      </c>
      <c r="C168" s="94">
        <v>5467751106347.2236</v>
      </c>
      <c r="D168" s="94">
        <v>8805078661477514</v>
      </c>
      <c r="E168" s="94">
        <v>4.029732565377904E+16</v>
      </c>
      <c r="F168" s="95">
        <v>4563</v>
      </c>
      <c r="G168" s="1">
        <v>2</v>
      </c>
      <c r="H168" s="10">
        <v>1.0000000000000001E-9</v>
      </c>
      <c r="I168" s="10">
        <v>1.0000000000304681</v>
      </c>
      <c r="J168" s="59">
        <f t="shared" si="7"/>
        <v>8979.365667752505</v>
      </c>
      <c r="K168" s="17">
        <v>23</v>
      </c>
    </row>
    <row r="169" spans="1:11" x14ac:dyDescent="0.2">
      <c r="A169" s="16">
        <v>46</v>
      </c>
      <c r="B169" s="62">
        <v>8980.365682175312</v>
      </c>
      <c r="C169" s="63">
        <v>5467751057376.8779</v>
      </c>
      <c r="D169" s="63">
        <v>8805078661477500</v>
      </c>
      <c r="E169" s="63">
        <v>4.0297325292867592E+16</v>
      </c>
      <c r="F169" s="59">
        <v>4593</v>
      </c>
      <c r="G169" s="10">
        <v>2</v>
      </c>
      <c r="H169" s="10">
        <v>1.0000000000000001E-9</v>
      </c>
      <c r="I169" s="10">
        <v>1.0000000000304681</v>
      </c>
      <c r="J169" s="59">
        <f t="shared" si="7"/>
        <v>8979.3656821752811</v>
      </c>
      <c r="K169" s="17">
        <v>23.5</v>
      </c>
    </row>
    <row r="170" spans="1:11" x14ac:dyDescent="0.2">
      <c r="A170" s="16">
        <v>47</v>
      </c>
      <c r="B170" s="93">
        <v>8980.3657465382639</v>
      </c>
      <c r="C170" s="94">
        <v>5467750838842.3105</v>
      </c>
      <c r="D170" s="94">
        <v>8805078661477516</v>
      </c>
      <c r="E170" s="94">
        <v>4.0297323682267832E+16</v>
      </c>
      <c r="F170" s="95">
        <v>4579</v>
      </c>
      <c r="G170" s="1">
        <v>2</v>
      </c>
      <c r="H170" s="10">
        <v>1.0000000000000001E-9</v>
      </c>
      <c r="I170" s="10">
        <v>1.0000000000304681</v>
      </c>
      <c r="J170" s="59">
        <f t="shared" si="7"/>
        <v>8979.365746538233</v>
      </c>
      <c r="K170" s="17">
        <v>24</v>
      </c>
    </row>
    <row r="171" spans="1:11" x14ac:dyDescent="0.2">
      <c r="A171" s="16">
        <v>48</v>
      </c>
      <c r="B171" s="62">
        <v>8980.3657792333252</v>
      </c>
      <c r="C171" s="63">
        <v>5467750727831.2354</v>
      </c>
      <c r="D171" s="63">
        <v>8805078661477528</v>
      </c>
      <c r="E171" s="63">
        <v>4.0297322864116208E+16</v>
      </c>
      <c r="F171" s="59">
        <v>4580</v>
      </c>
      <c r="G171" s="10">
        <v>2</v>
      </c>
      <c r="H171" s="10">
        <v>1.0000000000000001E-9</v>
      </c>
      <c r="I171" s="10">
        <v>1.0000000000304681</v>
      </c>
      <c r="J171" s="59">
        <f t="shared" si="7"/>
        <v>8979.3657792332942</v>
      </c>
      <c r="K171" s="17">
        <v>24.5</v>
      </c>
    </row>
    <row r="172" spans="1:11" x14ac:dyDescent="0.2">
      <c r="A172" s="16">
        <v>49</v>
      </c>
      <c r="B172" s="93">
        <v>8980.3657698382867</v>
      </c>
      <c r="C172" s="94">
        <v>5467750759730.6563</v>
      </c>
      <c r="D172" s="94">
        <v>8805078661477535</v>
      </c>
      <c r="E172" s="94">
        <v>4.0297323099214936E+16</v>
      </c>
      <c r="F172" s="95">
        <v>4589</v>
      </c>
      <c r="G172" s="1">
        <v>2</v>
      </c>
      <c r="H172" s="10">
        <v>1.0000000000000001E-9</v>
      </c>
      <c r="I172" s="10">
        <v>1.0000000000304681</v>
      </c>
      <c r="J172" s="59">
        <f t="shared" si="7"/>
        <v>8979.3657698382558</v>
      </c>
      <c r="K172" s="17">
        <v>25</v>
      </c>
    </row>
    <row r="173" spans="1:11" x14ac:dyDescent="0.2">
      <c r="A173" s="16">
        <v>50</v>
      </c>
      <c r="B173" s="62">
        <v>8980.365577584751</v>
      </c>
      <c r="C173" s="63">
        <v>5467751412498.1953</v>
      </c>
      <c r="D173" s="63">
        <v>8805078661477494</v>
      </c>
      <c r="E173" s="63">
        <v>4.0297327910111696E+16</v>
      </c>
      <c r="F173" s="59">
        <v>4595</v>
      </c>
      <c r="G173" s="10">
        <v>2</v>
      </c>
      <c r="H173" s="10">
        <v>1.0000000000000001E-9</v>
      </c>
      <c r="I173" s="10">
        <v>1.0000000000304681</v>
      </c>
      <c r="J173" s="59">
        <f t="shared" si="7"/>
        <v>8979.3655775847201</v>
      </c>
      <c r="K173" s="17">
        <v>25.5</v>
      </c>
    </row>
    <row r="174" spans="1:11" x14ac:dyDescent="0.2">
      <c r="A174" s="16">
        <v>51</v>
      </c>
      <c r="B174" s="93">
        <v>8980.3657300361829</v>
      </c>
      <c r="C174" s="94">
        <v>5467750894872.6055</v>
      </c>
      <c r="D174" s="94">
        <v>8805078661477515</v>
      </c>
      <c r="E174" s="94">
        <v>4.0297324095211104E+16</v>
      </c>
      <c r="F174" s="95">
        <v>4588</v>
      </c>
      <c r="G174" s="1">
        <v>2</v>
      </c>
      <c r="H174" s="10">
        <v>1.0000000000000001E-9</v>
      </c>
      <c r="I174" s="10">
        <v>1.0000000000304681</v>
      </c>
      <c r="J174" s="59">
        <f t="shared" si="7"/>
        <v>8979.3657300361519</v>
      </c>
      <c r="K174" s="17">
        <v>26</v>
      </c>
    </row>
    <row r="175" spans="1:11" x14ac:dyDescent="0.2">
      <c r="A175" s="16">
        <v>52</v>
      </c>
      <c r="B175" s="62">
        <v>8980.3657836102611</v>
      </c>
      <c r="C175" s="63">
        <v>5467750712970.0244</v>
      </c>
      <c r="D175" s="63">
        <v>8805078661477537</v>
      </c>
      <c r="E175" s="63">
        <v>4.029732275458908E+16</v>
      </c>
      <c r="F175" s="59">
        <v>4590</v>
      </c>
      <c r="G175" s="10">
        <v>2</v>
      </c>
      <c r="H175" s="10">
        <v>1.0000000000000001E-9</v>
      </c>
      <c r="I175" s="10">
        <v>1.0000000000304681</v>
      </c>
      <c r="J175" s="59">
        <f t="shared" si="7"/>
        <v>8979.3657836102302</v>
      </c>
      <c r="K175" s="17">
        <v>26.5</v>
      </c>
    </row>
    <row r="176" spans="1:11" x14ac:dyDescent="0.2">
      <c r="A176" s="16">
        <v>53</v>
      </c>
      <c r="B176" s="93">
        <v>8980.3656565177807</v>
      </c>
      <c r="C176" s="94">
        <v>5467751144493.1035</v>
      </c>
      <c r="D176" s="94">
        <v>8805078661477484</v>
      </c>
      <c r="E176" s="94">
        <v>4.0297325934914176E+16</v>
      </c>
      <c r="F176" s="95">
        <v>4612</v>
      </c>
      <c r="G176" s="1">
        <v>2</v>
      </c>
      <c r="H176" s="10">
        <v>1.0000000000000001E-9</v>
      </c>
      <c r="I176" s="10">
        <v>1.0000000000304681</v>
      </c>
      <c r="J176" s="59">
        <f t="shared" si="7"/>
        <v>8979.3656565177498</v>
      </c>
      <c r="K176" s="17">
        <v>27</v>
      </c>
    </row>
    <row r="177" spans="1:11" x14ac:dyDescent="0.2">
      <c r="A177" s="16">
        <v>54</v>
      </c>
      <c r="B177" s="62">
        <v>8980.3658370836492</v>
      </c>
      <c r="C177" s="63">
        <v>5467750531409.2979</v>
      </c>
      <c r="D177" s="63">
        <v>8805078661477502</v>
      </c>
      <c r="E177" s="63">
        <v>4.0297321416486528E+16</v>
      </c>
      <c r="F177" s="59">
        <v>4571</v>
      </c>
      <c r="G177" s="10">
        <v>2</v>
      </c>
      <c r="H177" s="10">
        <v>1.0000000000000001E-9</v>
      </c>
      <c r="I177" s="10">
        <v>1.0000000000304681</v>
      </c>
      <c r="J177" s="59">
        <f t="shared" si="7"/>
        <v>8979.3658370836183</v>
      </c>
      <c r="K177" s="17">
        <v>27.5</v>
      </c>
    </row>
    <row r="178" spans="1:11" x14ac:dyDescent="0.2">
      <c r="A178" s="16">
        <v>55</v>
      </c>
      <c r="B178" s="93">
        <v>8980.3657166504599</v>
      </c>
      <c r="C178" s="94">
        <v>5467750940321.7939</v>
      </c>
      <c r="D178" s="94">
        <v>8805078661477532</v>
      </c>
      <c r="E178" s="94">
        <v>4.0297324430171624E+16</v>
      </c>
      <c r="F178" s="95">
        <v>4587</v>
      </c>
      <c r="G178" s="1">
        <v>2</v>
      </c>
      <c r="H178" s="10">
        <v>1.0000000000000001E-9</v>
      </c>
      <c r="I178" s="10">
        <v>1.0000000000304681</v>
      </c>
      <c r="J178" s="59">
        <f t="shared" si="7"/>
        <v>8979.365716650429</v>
      </c>
      <c r="K178" s="17">
        <v>28</v>
      </c>
    </row>
    <row r="179" spans="1:11" x14ac:dyDescent="0.2">
      <c r="A179" s="16">
        <v>56</v>
      </c>
      <c r="B179" s="62">
        <v>8980.3658458302816</v>
      </c>
      <c r="C179" s="63">
        <v>5467750501711.4697</v>
      </c>
      <c r="D179" s="63">
        <v>8805078661477538</v>
      </c>
      <c r="E179" s="63">
        <v>4.0297321197613528E+16</v>
      </c>
      <c r="F179" s="59">
        <v>4620</v>
      </c>
      <c r="G179" s="10">
        <v>2</v>
      </c>
      <c r="H179" s="10">
        <v>1.0000000000000001E-9</v>
      </c>
      <c r="I179" s="10">
        <v>1.0000000000304681</v>
      </c>
      <c r="J179" s="59">
        <f t="shared" si="7"/>
        <v>8979.3658458302507</v>
      </c>
      <c r="K179" s="17">
        <v>28.5</v>
      </c>
    </row>
    <row r="180" spans="1:11" x14ac:dyDescent="0.2">
      <c r="A180" s="16">
        <v>57</v>
      </c>
      <c r="B180" s="93">
        <v>8980.3660340597544</v>
      </c>
      <c r="C180" s="94">
        <v>5467749862607.1318</v>
      </c>
      <c r="D180" s="94">
        <v>8805078661477414</v>
      </c>
      <c r="E180" s="94">
        <v>4.029731648741456E+16</v>
      </c>
      <c r="F180" s="95">
        <v>4577</v>
      </c>
      <c r="G180" s="1">
        <v>2</v>
      </c>
      <c r="H180" s="10">
        <v>1.0000000000000001E-9</v>
      </c>
      <c r="I180" s="10">
        <v>1.0000000000304681</v>
      </c>
      <c r="J180" s="59">
        <f t="shared" si="7"/>
        <v>8979.3660340597235</v>
      </c>
      <c r="K180" s="17">
        <v>29</v>
      </c>
    </row>
    <row r="181" spans="1:11" x14ac:dyDescent="0.2">
      <c r="A181" s="16">
        <v>58</v>
      </c>
      <c r="B181" s="62">
        <v>8980.3657727959944</v>
      </c>
      <c r="C181" s="63">
        <v>5467750749688.2158</v>
      </c>
      <c r="D181" s="63">
        <v>8805078661477541</v>
      </c>
      <c r="E181" s="63">
        <v>4.0297323025202152E+16</v>
      </c>
      <c r="F181" s="59">
        <v>4612</v>
      </c>
      <c r="G181" s="10">
        <v>2</v>
      </c>
      <c r="H181" s="10">
        <v>1.0000000000000001E-9</v>
      </c>
      <c r="I181" s="10">
        <v>1.0000000000304681</v>
      </c>
      <c r="J181" s="59">
        <f t="shared" si="7"/>
        <v>8979.3657727959635</v>
      </c>
      <c r="K181" s="17">
        <v>29.5</v>
      </c>
    </row>
    <row r="182" spans="1:11" ht="13.5" thickBot="1" x14ac:dyDescent="0.25">
      <c r="A182" s="18">
        <v>59</v>
      </c>
      <c r="B182" s="71">
        <v>8980.3661553112506</v>
      </c>
      <c r="C182" s="72">
        <v>5467749450916.3467</v>
      </c>
      <c r="D182" s="72">
        <v>8805078661477359</v>
      </c>
      <c r="E182" s="72">
        <v>4.0297313453253472E+16</v>
      </c>
      <c r="F182" s="73">
        <v>4623</v>
      </c>
      <c r="G182" s="5">
        <v>2</v>
      </c>
      <c r="H182" s="19">
        <v>1.0000000000000001E-9</v>
      </c>
      <c r="I182" s="19">
        <v>1.0000000000304681</v>
      </c>
      <c r="J182" s="60">
        <f t="shared" si="7"/>
        <v>8979.3661553112197</v>
      </c>
      <c r="K182" s="20">
        <v>30</v>
      </c>
    </row>
  </sheetData>
  <phoneticPr fontId="2" type="noConversion"/>
  <conditionalFormatting sqref="B12:F12 B19:F19 B153:F153">
    <cfRule type="expression" dxfId="1" priority="1" stopIfTrue="1">
      <formula>$A$6=0</formula>
    </cfRule>
    <cfRule type="expression" dxfId="0" priority="2" stopIfTrue="1">
      <formula>$G$7="Решение найдено"</formula>
    </cfRule>
  </conditionalFormatting>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№_5: Исследование метода поразрядного приближения при решении задачи №1.</dc:title>
  <dc:subject>Методы оптимизации</dc:subject>
  <dc:creator>ten_IG</dc:creator>
  <dc:description>4.04.2003 Исправлена ошибка в программе на листе4 и улучшено задание на листе5!!!</dc:description>
  <cp:lastModifiedBy>Акмарал</cp:lastModifiedBy>
  <cp:lastPrinted>2006-09-27T05:21:01Z</cp:lastPrinted>
  <dcterms:created xsi:type="dcterms:W3CDTF">2002-01-25T11:06:38Z</dcterms:created>
  <dcterms:modified xsi:type="dcterms:W3CDTF">2023-12-16T10:38:47Z</dcterms:modified>
  <cp:category>POVT-5-01</cp:category>
</cp:coreProperties>
</file>