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ЭтаКнига" defaultThemeVersion="124226"/>
  <mc:AlternateContent xmlns:mc="http://schemas.openxmlformats.org/markup-compatibility/2006">
    <mc:Choice Requires="x15">
      <x15ac:absPath xmlns:x15ac="http://schemas.microsoft.com/office/spreadsheetml/2010/11/ac" url="C:\Users\Акмарал\Desktop\3 КУРС ОСЕННИЙ СЕМЕСТР\МО\Лабораторные работы\Для сдачи вариант 2\"/>
    </mc:Choice>
  </mc:AlternateContent>
  <xr:revisionPtr revIDLastSave="0" documentId="13_ncr:1_{C2CF52FE-930B-4EAC-A236-9589EC02E673}" xr6:coauthVersionLast="47" xr6:coauthVersionMax="47" xr10:uidLastSave="{00000000-0000-0000-0000-000000000000}"/>
  <bookViews>
    <workbookView xWindow="-120" yWindow="-120" windowWidth="20730" windowHeight="11160" activeTab="2" xr2:uid="{00000000-000D-0000-FFFF-FFFF00000000}"/>
  </bookViews>
  <sheets>
    <sheet name="sheet1" sheetId="1" r:id="rId1"/>
    <sheet name="sheet2" sheetId="2" r:id="rId2"/>
    <sheet name="sheet3" sheetId="3" r:id="rId3"/>
    <sheet name="sheet4" sheetId="4" r:id="rId4"/>
    <sheet name="sheet5" sheetId="5" r:id="rId5"/>
  </sheet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 i="4" l="1"/>
  <c r="H7" i="4" l="1"/>
  <c r="F4" i="3" l="1"/>
  <c r="G13" i="5"/>
  <c r="G14" i="5" s="1"/>
  <c r="G15" i="5" s="1"/>
  <c r="G16" i="5" s="1"/>
  <c r="G17" i="5" s="1"/>
  <c r="G18" i="5" s="1"/>
  <c r="G19" i="5" s="1"/>
  <c r="G20" i="5" s="1"/>
  <c r="G21" i="5" s="1"/>
  <c r="G22" i="5" s="1"/>
  <c r="G23" i="5" s="1"/>
  <c r="G24" i="5" s="1"/>
  <c r="L6" i="4" l="1"/>
  <c r="I14" i="4"/>
  <c r="K104" i="1" l="1"/>
  <c r="J104" i="1" s="1"/>
  <c r="I104" i="1"/>
  <c r="K103" i="1"/>
  <c r="J103" i="1" s="1"/>
  <c r="I103" i="1"/>
  <c r="K102" i="1"/>
  <c r="J102" i="1"/>
  <c r="I102" i="1"/>
  <c r="K101" i="1"/>
  <c r="J101" i="1" s="1"/>
  <c r="I101" i="1"/>
  <c r="K100" i="1"/>
  <c r="J100" i="1" s="1"/>
  <c r="I100" i="1"/>
  <c r="K99" i="1"/>
  <c r="J99" i="1" s="1"/>
  <c r="I99" i="1"/>
  <c r="K98" i="1"/>
  <c r="J98" i="1"/>
  <c r="I98" i="1"/>
  <c r="K97" i="1"/>
  <c r="J97" i="1" s="1"/>
  <c r="I97" i="1"/>
  <c r="K96" i="1"/>
  <c r="J96" i="1" s="1"/>
  <c r="I96" i="1"/>
  <c r="K95" i="1"/>
  <c r="J95" i="1" s="1"/>
  <c r="I95" i="1"/>
  <c r="K94" i="1"/>
  <c r="J94" i="1" s="1"/>
  <c r="I94" i="1"/>
  <c r="K93" i="1"/>
  <c r="J93" i="1" s="1"/>
  <c r="I93" i="1"/>
  <c r="K92" i="1"/>
  <c r="J92" i="1" s="1"/>
  <c r="I92" i="1"/>
  <c r="K91" i="1"/>
  <c r="J91" i="1" s="1"/>
  <c r="I91" i="1"/>
  <c r="K90" i="1"/>
  <c r="J90" i="1"/>
  <c r="I90" i="1"/>
  <c r="K89" i="1"/>
  <c r="J89" i="1" s="1"/>
  <c r="I89" i="1"/>
  <c r="K88" i="1"/>
  <c r="J88" i="1"/>
  <c r="I88" i="1"/>
  <c r="K87" i="1"/>
  <c r="J87" i="1" s="1"/>
  <c r="I87" i="1"/>
  <c r="K86" i="1"/>
  <c r="J86" i="1" s="1"/>
  <c r="I86" i="1"/>
  <c r="K85" i="1"/>
  <c r="J85" i="1" s="1"/>
  <c r="I85" i="1"/>
  <c r="K84" i="1"/>
  <c r="J84" i="1" s="1"/>
  <c r="I84" i="1"/>
  <c r="K83" i="1"/>
  <c r="J83" i="1" s="1"/>
  <c r="I83" i="1"/>
  <c r="K82" i="1"/>
  <c r="J82" i="1"/>
  <c r="I82" i="1"/>
  <c r="K81" i="1"/>
  <c r="J81" i="1" s="1"/>
  <c r="I81" i="1"/>
  <c r="K80" i="1"/>
  <c r="J80" i="1"/>
  <c r="I80" i="1"/>
  <c r="K79" i="1"/>
  <c r="J79" i="1" s="1"/>
  <c r="I79" i="1"/>
  <c r="K78" i="1"/>
  <c r="J78" i="1"/>
  <c r="I78" i="1"/>
  <c r="K77" i="1"/>
  <c r="J77" i="1" s="1"/>
  <c r="I77" i="1"/>
  <c r="K76" i="1"/>
  <c r="J76" i="1" s="1"/>
  <c r="I76" i="1"/>
  <c r="K75" i="1"/>
  <c r="J75" i="1" s="1"/>
  <c r="I75" i="1"/>
  <c r="K74" i="1"/>
  <c r="J74" i="1"/>
  <c r="I74" i="1"/>
  <c r="K73" i="1"/>
  <c r="J73" i="1" s="1"/>
  <c r="I73" i="1"/>
  <c r="K72" i="1"/>
  <c r="J72" i="1"/>
  <c r="I72" i="1"/>
  <c r="K71" i="1"/>
  <c r="J71" i="1" s="1"/>
  <c r="I71" i="1"/>
  <c r="K70" i="1"/>
  <c r="J70" i="1"/>
  <c r="I70" i="1"/>
  <c r="K69" i="1"/>
  <c r="J69" i="1" s="1"/>
  <c r="I69" i="1"/>
  <c r="K68" i="1"/>
  <c r="J68" i="1" s="1"/>
  <c r="I68" i="1"/>
  <c r="K67" i="1"/>
  <c r="J67" i="1" s="1"/>
  <c r="I67" i="1"/>
  <c r="K66" i="1"/>
  <c r="J66" i="1"/>
  <c r="I66" i="1"/>
  <c r="K65" i="1"/>
  <c r="J65" i="1" s="1"/>
  <c r="I65" i="1"/>
  <c r="K64" i="1"/>
  <c r="J64" i="1"/>
  <c r="I64" i="1"/>
  <c r="K63" i="1"/>
  <c r="J63" i="1" s="1"/>
  <c r="I63" i="1"/>
  <c r="K62" i="1"/>
  <c r="J62" i="1"/>
  <c r="I62" i="1"/>
  <c r="K61" i="1"/>
  <c r="J61" i="1" s="1"/>
  <c r="I61" i="1"/>
  <c r="K60" i="1"/>
  <c r="J60" i="1" s="1"/>
  <c r="I60" i="1"/>
  <c r="K59" i="1"/>
  <c r="J59" i="1" s="1"/>
  <c r="I59" i="1"/>
  <c r="K58" i="1"/>
  <c r="J58" i="1"/>
  <c r="I58" i="1"/>
  <c r="K57" i="1"/>
  <c r="J57" i="1" s="1"/>
  <c r="I57" i="1"/>
  <c r="K56" i="1"/>
  <c r="J56" i="1"/>
  <c r="I56" i="1"/>
  <c r="K55" i="1"/>
  <c r="J55" i="1" s="1"/>
  <c r="I55" i="1"/>
  <c r="K54" i="1"/>
  <c r="J54" i="1"/>
  <c r="I54" i="1"/>
  <c r="K53" i="1"/>
  <c r="J53" i="1" s="1"/>
  <c r="I53" i="1"/>
  <c r="K52" i="1"/>
  <c r="J52" i="1" s="1"/>
  <c r="I52" i="1"/>
  <c r="K51" i="1"/>
  <c r="J51" i="1" s="1"/>
  <c r="I51" i="1"/>
  <c r="K50" i="1"/>
  <c r="J50" i="1" s="1"/>
  <c r="I50" i="1"/>
  <c r="K49" i="1"/>
  <c r="J49" i="1" s="1"/>
  <c r="I49" i="1"/>
  <c r="K48" i="1"/>
  <c r="J48" i="1"/>
  <c r="I48" i="1"/>
  <c r="K47" i="1"/>
  <c r="J47" i="1" s="1"/>
  <c r="I47" i="1"/>
  <c r="K46" i="1"/>
  <c r="J46" i="1"/>
  <c r="I46" i="1"/>
  <c r="K45" i="1"/>
  <c r="J45" i="1" s="1"/>
  <c r="I45" i="1"/>
  <c r="K44" i="1"/>
  <c r="J44" i="1" s="1"/>
  <c r="I44" i="1"/>
  <c r="K43" i="1"/>
  <c r="J43" i="1" s="1"/>
  <c r="I43" i="1"/>
  <c r="K42" i="1"/>
  <c r="J42" i="1" s="1"/>
  <c r="I42" i="1"/>
  <c r="K41" i="1"/>
  <c r="J41" i="1" s="1"/>
  <c r="I41" i="1"/>
  <c r="K40" i="1"/>
  <c r="J40" i="1" s="1"/>
  <c r="I40" i="1"/>
  <c r="K39" i="1"/>
  <c r="J39" i="1" s="1"/>
  <c r="I39" i="1"/>
  <c r="K38" i="1"/>
  <c r="J38" i="1"/>
  <c r="I38" i="1"/>
  <c r="K37" i="1"/>
  <c r="J37" i="1" s="1"/>
  <c r="I37" i="1"/>
  <c r="K36" i="1"/>
  <c r="J36" i="1" s="1"/>
  <c r="I36" i="1"/>
  <c r="K35" i="1"/>
  <c r="J35" i="1" s="1"/>
  <c r="I35" i="1"/>
  <c r="K34" i="1"/>
  <c r="J34" i="1"/>
  <c r="I34" i="1"/>
  <c r="K33" i="1"/>
  <c r="J33" i="1" s="1"/>
  <c r="I33" i="1"/>
  <c r="K32" i="1"/>
  <c r="J32" i="1" s="1"/>
  <c r="I32" i="1"/>
  <c r="K31" i="1"/>
  <c r="J31" i="1" s="1"/>
  <c r="I31" i="1"/>
  <c r="K30" i="1"/>
  <c r="J30" i="1" s="1"/>
  <c r="I30" i="1"/>
  <c r="K29" i="1"/>
  <c r="J29" i="1" s="1"/>
  <c r="I29" i="1"/>
  <c r="K28" i="1"/>
  <c r="J28" i="1" s="1"/>
  <c r="I28" i="1"/>
  <c r="K27" i="1"/>
  <c r="J27" i="1" s="1"/>
  <c r="I27" i="1"/>
  <c r="K26" i="1"/>
  <c r="J26" i="1"/>
  <c r="I26" i="1"/>
  <c r="K25" i="1"/>
  <c r="J25" i="1" s="1"/>
  <c r="I25" i="1"/>
  <c r="K24" i="1"/>
  <c r="J24" i="1"/>
  <c r="I24" i="1"/>
  <c r="K23" i="1"/>
  <c r="J23" i="1" s="1"/>
  <c r="I23" i="1"/>
  <c r="K22" i="1"/>
  <c r="J22" i="1" s="1"/>
  <c r="I22" i="1"/>
  <c r="K21" i="1"/>
  <c r="J21" i="1" s="1"/>
  <c r="I21" i="1"/>
  <c r="K20" i="1"/>
  <c r="J20" i="1" s="1"/>
  <c r="I20" i="1"/>
  <c r="K19" i="1"/>
  <c r="J19" i="1" s="1"/>
  <c r="I19" i="1"/>
  <c r="K18" i="1"/>
  <c r="J18" i="1"/>
  <c r="I18" i="1"/>
  <c r="K17" i="1"/>
  <c r="J17" i="1" s="1"/>
  <c r="I17" i="1"/>
  <c r="K16" i="1"/>
  <c r="J16" i="1"/>
  <c r="I16" i="1"/>
  <c r="K15" i="1"/>
  <c r="J15" i="1" s="1"/>
  <c r="I15" i="1"/>
  <c r="K14" i="1"/>
  <c r="J14" i="1"/>
  <c r="I14" i="1"/>
  <c r="K13" i="1"/>
  <c r="J13" i="1" s="1"/>
  <c r="I13" i="1"/>
  <c r="K12" i="1"/>
  <c r="J12" i="1" s="1"/>
  <c r="I12" i="1"/>
  <c r="K11" i="1"/>
  <c r="J11" i="1" s="1"/>
  <c r="I11" i="1"/>
  <c r="K10" i="1"/>
  <c r="J10" i="1"/>
  <c r="I10" i="1"/>
  <c r="K9" i="1"/>
  <c r="J9" i="1" s="1"/>
  <c r="I9" i="1"/>
  <c r="K8" i="1"/>
  <c r="J8" i="1"/>
  <c r="I8" i="1"/>
  <c r="K7" i="1"/>
  <c r="J7" i="1" s="1"/>
  <c r="I7" i="1"/>
  <c r="K6" i="1"/>
  <c r="J6" i="1"/>
  <c r="I6" i="1"/>
  <c r="K5" i="1"/>
  <c r="J5" i="1" s="1"/>
  <c r="I5" i="1"/>
  <c r="K4" i="1"/>
  <c r="J4" i="1" s="1"/>
  <c r="I4" i="1"/>
  <c r="E4" i="3" l="1"/>
  <c r="H24" i="5"/>
  <c r="H23" i="5"/>
  <c r="I6" i="4"/>
  <c r="H13" i="5"/>
  <c r="H14" i="5"/>
  <c r="H15" i="5"/>
  <c r="H16" i="5"/>
  <c r="H17" i="5"/>
  <c r="H18" i="5"/>
  <c r="H19" i="5"/>
  <c r="H20" i="5"/>
  <c r="H21" i="5"/>
  <c r="H22" i="5"/>
  <c r="H12" i="5"/>
  <c r="H5" i="2"/>
  <c r="D5" i="2" s="1"/>
  <c r="F5" i="2" s="1"/>
  <c r="E5" i="2"/>
  <c r="G5" i="2"/>
  <c r="B6" i="2" l="1"/>
  <c r="D6" i="2"/>
  <c r="F6" i="2" s="1"/>
  <c r="C6" i="2"/>
  <c r="H6" i="2" s="1"/>
  <c r="E6" i="2"/>
  <c r="G6" i="2" s="1"/>
  <c r="B7" i="2" l="1"/>
  <c r="E7" i="2"/>
  <c r="G7" i="2" s="1"/>
  <c r="C7" i="2"/>
  <c r="H7" i="2" l="1"/>
  <c r="D7" i="2" s="1"/>
  <c r="F7" i="2" s="1"/>
  <c r="C8" i="2" l="1"/>
  <c r="E8" i="2"/>
  <c r="G8" i="2" s="1"/>
  <c r="B8" i="2"/>
  <c r="H8" i="2" l="1"/>
  <c r="D8" i="2" s="1"/>
  <c r="F8" i="2" s="1"/>
  <c r="D9" i="2" l="1"/>
  <c r="F9" i="2" s="1"/>
  <c r="B9" i="2"/>
  <c r="C9" i="2"/>
  <c r="H9" i="2" s="1"/>
  <c r="E9" i="2" l="1"/>
  <c r="G9" i="2" s="1"/>
  <c r="B10" i="2" s="1"/>
  <c r="C10" i="2"/>
  <c r="D10" i="2"/>
  <c r="F10" i="2" s="1"/>
  <c r="H10" i="2" l="1"/>
  <c r="E10" i="2"/>
  <c r="G10" i="2" s="1"/>
  <c r="C11" i="2" s="1"/>
  <c r="B11" i="2"/>
  <c r="E11" i="2" l="1"/>
  <c r="G11" i="2" s="1"/>
  <c r="H11" i="2"/>
  <c r="D11" i="2" s="1"/>
  <c r="F11" i="2" s="1"/>
  <c r="D12" i="2" l="1"/>
  <c r="F12" i="2" s="1"/>
  <c r="B12" i="2"/>
  <c r="C12" i="2"/>
  <c r="H12" i="2" s="1"/>
  <c r="E12" i="2" s="1"/>
  <c r="G12" i="2" s="1"/>
  <c r="D13" i="2" s="1"/>
  <c r="F13" i="2" s="1"/>
  <c r="B13" i="2" l="1"/>
  <c r="C13" i="2"/>
  <c r="H13" i="2" s="1"/>
  <c r="E13" i="2" s="1"/>
  <c r="G13" i="2" s="1"/>
  <c r="C14" i="2" l="1"/>
  <c r="D14" i="2"/>
  <c r="F14" i="2" s="1"/>
  <c r="B14" i="2"/>
  <c r="H14" i="2" l="1"/>
  <c r="E14" i="2" s="1"/>
  <c r="G14" i="2" s="1"/>
  <c r="E15" i="2" s="1"/>
  <c r="G15" i="2" s="1"/>
  <c r="C15" i="2"/>
  <c r="B15" i="2" l="1"/>
  <c r="H15" i="2" s="1"/>
  <c r="D15" i="2" s="1"/>
  <c r="F15" i="2" s="1"/>
  <c r="B16" i="2" l="1"/>
  <c r="C16" i="2"/>
  <c r="H16" i="2" s="1"/>
  <c r="E16" i="2"/>
  <c r="G16" i="2" s="1"/>
  <c r="D16" i="2" l="1"/>
  <c r="F16" i="2" s="1"/>
  <c r="C17" i="2" s="1"/>
  <c r="B17" i="2" l="1"/>
  <c r="D17" i="2"/>
  <c r="F17" i="2" s="1"/>
  <c r="H17" i="2"/>
  <c r="E17" i="2" s="1"/>
  <c r="G17" i="2" s="1"/>
  <c r="E18" i="2" s="1"/>
  <c r="G18" i="2" s="1"/>
  <c r="C18" i="2" l="1"/>
  <c r="B18" i="2"/>
  <c r="H18" i="2" l="1"/>
  <c r="D18" i="2" s="1"/>
  <c r="F18" i="2" s="1"/>
  <c r="C19" i="2" l="1"/>
  <c r="B19" i="2"/>
  <c r="E19" i="2"/>
  <c r="G19" i="2" s="1"/>
  <c r="H19" i="2" l="1"/>
  <c r="D19" i="2" s="1"/>
  <c r="F19" i="2" s="1"/>
  <c r="D20" i="2" l="1"/>
  <c r="F20" i="2" s="1"/>
  <c r="B20" i="2"/>
  <c r="C20" i="2"/>
  <c r="H20" i="2" l="1"/>
  <c r="E20" i="2"/>
  <c r="G20" i="2" s="1"/>
  <c r="C21" i="2" l="1"/>
  <c r="B21" i="2"/>
  <c r="E21" i="2"/>
  <c r="G21" i="2" s="1"/>
  <c r="H21" i="2" l="1"/>
  <c r="D21" i="2" s="1"/>
  <c r="F21" i="2" s="1"/>
  <c r="B4" i="3"/>
  <c r="C4" i="3"/>
  <c r="G4" i="3"/>
  <c r="I4" i="3"/>
  <c r="J4" i="3"/>
  <c r="B5" i="3"/>
  <c r="C5" i="3"/>
  <c r="D5" i="3"/>
  <c r="I5" i="3"/>
  <c r="B6" i="3"/>
  <c r="C6" i="3"/>
  <c r="D6" i="3"/>
  <c r="I6" i="3"/>
  <c r="B7" i="3"/>
  <c r="C7" i="3"/>
  <c r="D7" i="3"/>
  <c r="I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I24" i="3"/>
  <c r="H8" i="4"/>
  <c r="H10" i="4"/>
  <c r="I10" i="4"/>
  <c r="J10" i="4"/>
  <c r="K10" i="4"/>
  <c r="L10" i="4"/>
  <c r="M10" i="4"/>
  <c r="N10" i="4"/>
  <c r="H11" i="4"/>
  <c r="I11" i="4"/>
  <c r="J11" i="4"/>
  <c r="K11" i="4"/>
  <c r="H12" i="4"/>
  <c r="I12" i="4"/>
  <c r="J12" i="4"/>
  <c r="K12" i="4"/>
  <c r="L12" i="4"/>
  <c r="M12" i="4"/>
  <c r="N12" i="4"/>
  <c r="H13" i="4"/>
  <c r="H14" i="4"/>
  <c r="H15" i="4"/>
  <c r="H16" i="4"/>
  <c r="H17" i="4"/>
  <c r="H18" i="4"/>
  <c r="H19"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Admin</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Cost//Original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 Решение для четных задач</t>
        </r>
      </text>
    </comment>
    <comment ref="H48" authorId="2" shapeId="0" xr:uid="{00000000-0006-0000-0000-000007000000}">
      <text>
        <r>
          <rPr>
            <b/>
            <sz val="9"/>
            <color indexed="81"/>
            <rFont val="Tahoma"/>
            <family val="2"/>
            <charset val="204"/>
          </rPr>
          <t>Admin:</t>
        </r>
        <r>
          <rPr>
            <sz val="9"/>
            <color indexed="81"/>
            <rFont val="Tahoma"/>
            <family val="2"/>
            <charset val="204"/>
          </rPr>
          <t xml:space="preserve">
The list of students is appeared at 2021.09.20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D3" authorId="0" shapeId="0" xr:uid="{00000000-0006-0000-0200-000001000000}">
      <text>
        <r>
          <rPr>
            <b/>
            <sz val="8"/>
            <color indexed="81"/>
            <rFont val="Tahoma"/>
            <family val="2"/>
            <charset val="204"/>
          </rPr>
          <t xml:space="preserve">Ten:
Parameter A(k) refers to "Asymptotic Error Constant" 
Параметр A(k) называется "Константа асимптотической ошибки" </t>
        </r>
      </text>
    </comment>
    <comment ref="H3" authorId="1" shapeId="0" xr:uid="{00000000-0006-0000-0200-000002000000}">
      <text>
        <r>
          <rPr>
            <b/>
            <sz val="8"/>
            <color indexed="81"/>
            <rFont val="Tahoma"/>
            <family val="2"/>
            <charset val="204"/>
          </rPr>
          <t>ten_IG:</t>
        </r>
        <r>
          <rPr>
            <sz val="8"/>
            <color indexed="81"/>
            <rFont val="Tahoma"/>
            <family val="2"/>
            <charset val="204"/>
          </rPr>
          <t xml:space="preserve">
Значение Sigma, которое будет выделено синим цветом это есть искомое значение параметра Sigma, необходимое для определения скорости сходимости метода оптимизации!!!</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A6" authorId="0" shapeId="0" xr:uid="{00000000-0006-0000-0300-000001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sharedStrings.xml><?xml version="1.0" encoding="utf-8"?>
<sst xmlns="http://schemas.openxmlformats.org/spreadsheetml/2006/main" count="118" uniqueCount="99">
  <si>
    <t>Параметры модели рынка для лабораторных работ по Методам оптимизации</t>
  </si>
  <si>
    <t>№</t>
  </si>
  <si>
    <t>Это параметры для примера</t>
  </si>
  <si>
    <t>N</t>
  </si>
  <si>
    <t>Оптимальная Цена</t>
  </si>
  <si>
    <t xml:space="preserve"> Оптимальная Прибыль</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</si>
  <si>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</si>
  <si>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</si>
  <si>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</si>
  <si>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Прибыль=Спрос*(Цена-Себестоимость); Спрос=A/(Цена+Цена*B)^(2*D); Кредит=Себестоимость*Спрос.</t>
  </si>
  <si>
    <t>Допустимая Погрешность</t>
  </si>
  <si>
    <t>Оптимальная цена</t>
  </si>
  <si>
    <t>В исходное состояние</t>
  </si>
  <si>
    <t>Пуск программы</t>
  </si>
  <si>
    <t>alfa</t>
  </si>
  <si>
    <t>Выбор допустимой погрешности</t>
  </si>
  <si>
    <r>
      <t xml:space="preserve">Лабораторная работа №_9: Исследование </t>
    </r>
    <r>
      <rPr>
        <b/>
        <i/>
        <sz val="14"/>
        <rFont val="Arial Cyr"/>
        <charset val="204"/>
      </rPr>
      <t xml:space="preserve">метода золотого сечения </t>
    </r>
    <r>
      <rPr>
        <b/>
        <sz val="10"/>
        <rFont val="Arial Cyr"/>
        <charset val="204"/>
      </rPr>
      <t xml:space="preserve"> при решении задачи №1.</t>
    </r>
  </si>
  <si>
    <t>Программа, реализующая метод  Золотого сечения</t>
  </si>
  <si>
    <r>
      <t>a</t>
    </r>
    <r>
      <rPr>
        <b/>
        <vertAlign val="superscript"/>
        <sz val="8"/>
        <rFont val="Arial Cyr"/>
        <charset val="204"/>
      </rPr>
      <t>k</t>
    </r>
  </si>
  <si>
    <r>
      <t>b</t>
    </r>
    <r>
      <rPr>
        <b/>
        <vertAlign val="superscript"/>
        <sz val="8"/>
        <rFont val="Arial Cyr"/>
        <charset val="204"/>
      </rPr>
      <t>k</t>
    </r>
  </si>
  <si>
    <r>
      <t>c</t>
    </r>
    <r>
      <rPr>
        <b/>
        <vertAlign val="superscript"/>
        <sz val="8"/>
        <rFont val="Arial Cyr"/>
        <charset val="204"/>
      </rPr>
      <t>k</t>
    </r>
  </si>
  <si>
    <r>
      <t>d</t>
    </r>
    <r>
      <rPr>
        <b/>
        <vertAlign val="superscript"/>
        <sz val="8"/>
        <rFont val="Arial Cyr"/>
        <charset val="204"/>
      </rPr>
      <t>k</t>
    </r>
  </si>
  <si>
    <r>
      <t>h</t>
    </r>
    <r>
      <rPr>
        <b/>
        <vertAlign val="superscript"/>
        <sz val="8"/>
        <rFont val="Arial Cyr"/>
        <charset val="204"/>
      </rPr>
      <t>k</t>
    </r>
  </si>
  <si>
    <t>f(ck)</t>
  </si>
  <si>
    <t>f(dk)</t>
  </si>
  <si>
    <t>Rone=r</t>
  </si>
  <si>
    <t>Rtwo=(1-r)</t>
  </si>
  <si>
    <r>
      <t>Конечные точки начального интервала a</t>
    </r>
    <r>
      <rPr>
        <vertAlign val="superscript"/>
        <sz val="10"/>
        <rFont val="Arial Cyr"/>
        <charset val="204"/>
      </rPr>
      <t>k</t>
    </r>
    <r>
      <rPr>
        <sz val="10"/>
        <rFont val="Arial Cyr"/>
        <charset val="204"/>
      </rPr>
      <t xml:space="preserve"> , b</t>
    </r>
    <r>
      <rPr>
        <vertAlign val="superscript"/>
        <sz val="10"/>
        <rFont val="Arial Cyr"/>
        <charset val="204"/>
      </rPr>
      <t>k</t>
    </r>
  </si>
  <si>
    <t>Номер итерации k</t>
  </si>
  <si>
    <r>
      <t>Вычисление  точек a</t>
    </r>
    <r>
      <rPr>
        <vertAlign val="superscript"/>
        <sz val="10"/>
        <rFont val="Arial Cyr"/>
        <charset val="204"/>
      </rPr>
      <t>k</t>
    </r>
    <r>
      <rPr>
        <sz val="10"/>
        <rFont val="Arial Cyr"/>
        <charset val="204"/>
      </rPr>
      <t>, b</t>
    </r>
    <r>
      <rPr>
        <vertAlign val="superscript"/>
        <sz val="10"/>
        <rFont val="Arial Cyr"/>
        <charset val="204"/>
      </rPr>
      <t>k</t>
    </r>
    <r>
      <rPr>
        <sz val="10"/>
        <rFont val="Arial Cyr"/>
        <charset val="204"/>
      </rPr>
      <t>, c</t>
    </r>
    <r>
      <rPr>
        <vertAlign val="superscript"/>
        <sz val="10"/>
        <rFont val="Arial Cyr"/>
        <charset val="204"/>
      </rPr>
      <t>k</t>
    </r>
    <r>
      <rPr>
        <sz val="10"/>
        <rFont val="Arial Cyr"/>
        <charset val="204"/>
      </rPr>
      <t>, d</t>
    </r>
    <r>
      <rPr>
        <vertAlign val="superscript"/>
        <sz val="10"/>
        <rFont val="Arial Cyr"/>
        <charset val="204"/>
      </rPr>
      <t>k</t>
    </r>
    <r>
      <rPr>
        <sz val="10"/>
        <rFont val="Arial Cyr"/>
        <charset val="204"/>
      </rPr>
      <t xml:space="preserve"> </t>
    </r>
  </si>
  <si>
    <t>Вычисление целевой функции</t>
  </si>
  <si>
    <r>
      <t>Новые точки интервала  a</t>
    </r>
    <r>
      <rPr>
        <vertAlign val="superscript"/>
        <sz val="10"/>
        <rFont val="Arial Cyr"/>
        <charset val="204"/>
      </rPr>
      <t>k+1</t>
    </r>
    <r>
      <rPr>
        <sz val="10"/>
        <rFont val="Arial Cyr"/>
        <charset val="204"/>
      </rPr>
      <t>, b</t>
    </r>
    <r>
      <rPr>
        <vertAlign val="superscript"/>
        <sz val="10"/>
        <rFont val="Arial Cyr"/>
        <charset val="204"/>
      </rPr>
      <t>k+1,</t>
    </r>
    <r>
      <rPr>
        <sz val="10"/>
        <rFont val="Arial Cyr"/>
        <charset val="204"/>
      </rPr>
      <t xml:space="preserve"> c</t>
    </r>
    <r>
      <rPr>
        <vertAlign val="superscript"/>
        <sz val="10"/>
        <rFont val="Arial Cyr"/>
        <charset val="204"/>
      </rPr>
      <t>k+1</t>
    </r>
    <r>
      <rPr>
        <sz val="10"/>
        <rFont val="Arial Cyr"/>
        <charset val="204"/>
      </rPr>
      <t>, d</t>
    </r>
    <r>
      <rPr>
        <vertAlign val="superscript"/>
        <sz val="10"/>
        <rFont val="Arial Cyr"/>
        <charset val="204"/>
      </rPr>
      <t>k+1</t>
    </r>
    <r>
      <rPr>
        <sz val="10"/>
        <rFont val="Arial Cyr"/>
        <charset val="204"/>
      </rPr>
      <t xml:space="preserve"> </t>
    </r>
  </si>
  <si>
    <t>Сообщение о состоянии процесса поиска</t>
  </si>
  <si>
    <t>Оптимальный спрос</t>
  </si>
  <si>
    <t>Количество итераций N*</t>
  </si>
  <si>
    <r>
      <t>Ширина интервала h</t>
    </r>
    <r>
      <rPr>
        <vertAlign val="superscript"/>
        <sz val="10"/>
        <rFont val="Arial Cyr"/>
        <charset val="204"/>
      </rPr>
      <t>k</t>
    </r>
  </si>
  <si>
    <t>Обозначения  точек интервала</t>
  </si>
  <si>
    <t>Размер области поиска=b-a</t>
  </si>
  <si>
    <t>k</t>
  </si>
  <si>
    <r>
      <t>a</t>
    </r>
    <r>
      <rPr>
        <b/>
        <vertAlign val="superscript"/>
        <sz val="10"/>
        <rFont val="Arial"/>
        <family val="2"/>
        <charset val="204"/>
      </rPr>
      <t>k</t>
    </r>
  </si>
  <si>
    <r>
      <t>b</t>
    </r>
    <r>
      <rPr>
        <b/>
        <vertAlign val="superscript"/>
        <sz val="10"/>
        <rFont val="Arial"/>
        <family val="2"/>
        <charset val="204"/>
      </rPr>
      <t>k</t>
    </r>
  </si>
  <si>
    <r>
      <t>c</t>
    </r>
    <r>
      <rPr>
        <b/>
        <vertAlign val="superscript"/>
        <sz val="10"/>
        <rFont val="Arial"/>
        <family val="2"/>
        <charset val="204"/>
      </rPr>
      <t>k</t>
    </r>
  </si>
  <si>
    <r>
      <t>d</t>
    </r>
    <r>
      <rPr>
        <b/>
        <vertAlign val="superscript"/>
        <sz val="10"/>
        <rFont val="Arial"/>
        <family val="2"/>
        <charset val="204"/>
      </rPr>
      <t>k</t>
    </r>
  </si>
  <si>
    <r>
      <t>f(c</t>
    </r>
    <r>
      <rPr>
        <b/>
        <vertAlign val="superscript"/>
        <sz val="10"/>
        <rFont val="Arial"/>
        <family val="2"/>
        <charset val="204"/>
      </rPr>
      <t>k</t>
    </r>
    <r>
      <rPr>
        <b/>
        <sz val="10"/>
        <rFont val="Arial"/>
        <family val="2"/>
        <charset val="204"/>
      </rPr>
      <t>)</t>
    </r>
  </si>
  <si>
    <r>
      <t>f(d</t>
    </r>
    <r>
      <rPr>
        <b/>
        <vertAlign val="superscript"/>
        <sz val="10"/>
        <rFont val="Arial"/>
        <family val="2"/>
        <charset val="204"/>
      </rPr>
      <t>k</t>
    </r>
    <r>
      <rPr>
        <b/>
        <sz val="10"/>
        <rFont val="Arial"/>
        <family val="2"/>
        <charset val="204"/>
      </rPr>
      <t>)</t>
    </r>
  </si>
  <si>
    <r>
      <t>b</t>
    </r>
    <r>
      <rPr>
        <b/>
        <vertAlign val="superscript"/>
        <sz val="10"/>
        <rFont val="Arial"/>
        <family val="2"/>
        <charset val="204"/>
      </rPr>
      <t>k</t>
    </r>
    <r>
      <rPr>
        <b/>
        <sz val="10"/>
        <rFont val="Arial"/>
        <family val="2"/>
        <charset val="204"/>
      </rPr>
      <t>-a</t>
    </r>
    <r>
      <rPr>
        <b/>
        <vertAlign val="superscript"/>
        <sz val="10"/>
        <rFont val="Arial"/>
        <family val="2"/>
        <charset val="204"/>
      </rPr>
      <t>k</t>
    </r>
  </si>
  <si>
    <t>f(x)=[exp(x)-2-x]^2 на интервале [0,2].</t>
  </si>
  <si>
    <t>Упражнение 9.1 Используя Алгоритм Метода Золотого Сечения найти локальный минимум заданной целевой функции</t>
  </si>
  <si>
    <t>Задание по лабораторной работе:</t>
  </si>
  <si>
    <t>1. Найти зависимость количества итераций от допустимой погрешности.</t>
  </si>
  <si>
    <t>2. Найти зависимость количества итераций от размера области поиска.</t>
  </si>
  <si>
    <t>3. Построить графики 9.1 и 9.2 с этими зависимостями.</t>
  </si>
  <si>
    <t>Колличество итераций</t>
  </si>
  <si>
    <t>Таблица 9.2  Зависимость Количества итераций от Размера области поиска.</t>
  </si>
  <si>
    <t>Таблица 9.1  Зависимость Количества итераций от Допустимой Погрешности.</t>
  </si>
  <si>
    <t>4. Определить скорость сходимости Метода Золотого Сечения.</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</si>
  <si>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</si>
  <si>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</si>
  <si>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</si>
  <si>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</si>
  <si>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</si>
  <si>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</si>
  <si>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</si>
  <si>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Цена(k)</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</si>
  <si>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</si>
  <si>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</si>
  <si>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t>sigma</t>
  </si>
  <si>
    <t>X*</t>
  </si>
  <si>
    <r>
      <t>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</si>
  <si>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List of sigma</t>
  </si>
  <si>
    <r>
      <t>MIN[abs((A</t>
    </r>
    <r>
      <rPr>
        <b/>
        <vertAlign val="superscript"/>
        <sz val="10"/>
        <rFont val="Arial Cyr"/>
        <charset val="204"/>
      </rPr>
      <t>k</t>
    </r>
    <r>
      <rPr>
        <b/>
        <sz val="10"/>
        <rFont val="Arial Cyr"/>
        <charset val="204"/>
      </rPr>
      <t>-A</t>
    </r>
    <r>
      <rPr>
        <b/>
        <vertAlign val="superscript"/>
        <sz val="10"/>
        <rFont val="Arial Cyr"/>
        <charset val="204"/>
      </rPr>
      <t>k+1</t>
    </r>
    <r>
      <rPr>
        <b/>
        <sz val="10"/>
        <rFont val="Arial Cyr"/>
        <charset val="204"/>
      </rPr>
      <t>)/A</t>
    </r>
    <r>
      <rPr>
        <b/>
        <vertAlign val="superscript"/>
        <sz val="10"/>
        <rFont val="Arial Cyr"/>
        <charset val="204"/>
      </rPr>
      <t>k</t>
    </r>
    <r>
      <rPr>
        <b/>
        <sz val="10"/>
        <rFont val="Arial Cyr"/>
        <charset val="204"/>
      </rPr>
      <t>)]</t>
    </r>
  </si>
  <si>
    <t>Таблица 9.3 Исходные данные для определения скорости сходимости Метода золотого сечения</t>
  </si>
  <si>
    <t>Таблица 9.4. Программа для оценки скорости сходимости  Метода золотого сечения</t>
  </si>
  <si>
    <t>Limit of Credit Value</t>
  </si>
  <si>
    <r>
      <t xml:space="preserve">Таблица 1: Распределение </t>
    </r>
    <r>
      <rPr>
        <b/>
        <i/>
        <sz val="10"/>
        <color rgb="FFFF0000"/>
        <rFont val="Arial Cyr"/>
        <charset val="204"/>
      </rPr>
      <t>Параметров моделей рынка Оптимизационных Задач</t>
    </r>
    <r>
      <rPr>
        <sz val="10"/>
        <rFont val="Arial Cyr"/>
        <charset val="204"/>
      </rPr>
      <t xml:space="preserve"> между студентами группы ПИ-3-21.</t>
    </r>
  </si>
  <si>
    <t>Фамилия, Имя студента группы ПИ-3-21</t>
  </si>
  <si>
    <t>Алтынбекова Нурзат</t>
  </si>
  <si>
    <t>Джанышбекова Акмарал</t>
  </si>
  <si>
    <t xml:space="preserve">Закиров Мустафа </t>
  </si>
  <si>
    <t>Копжашаров Азамат</t>
  </si>
  <si>
    <t>Русланов Адылбек</t>
  </si>
  <si>
    <t>Сагыналиев Таалайбек</t>
  </si>
  <si>
    <t>Урманбетов Султан</t>
  </si>
  <si>
    <t>Алтынбеков Даурен</t>
  </si>
  <si>
    <t>Ашымова Айжан</t>
  </si>
  <si>
    <t>Жайлообек уулу Улукбек</t>
  </si>
  <si>
    <t>Икрамов Абдул-Муним</t>
  </si>
  <si>
    <t>Муктарали уулу Дастан</t>
  </si>
  <si>
    <t>Пак Ксения</t>
  </si>
  <si>
    <t>Саркобенов Арстан</t>
  </si>
  <si>
    <t>Табылдиева Шоола</t>
  </si>
  <si>
    <t>Молдобеков Ислам</t>
  </si>
  <si>
    <t>Касенов Канагат</t>
  </si>
  <si>
    <t>Элеманов Бекжан</t>
  </si>
  <si>
    <t>Токторбаев Актан</t>
  </si>
  <si>
    <t>Аденов Дастан</t>
  </si>
  <si>
    <t>Каскеев Рамазан</t>
  </si>
  <si>
    <t>Конушбаев Султан</t>
  </si>
  <si>
    <t>Вывод: Метод Золотого Сечения  имеет линейную скорость сходимости потому, что  ряд {abs(X*-Xk+1)/abs(X*-Xk)^sigma} сходится к значению A∞=abs(X*-Xk+1)/abs(X*-Xk)^sigma= 0,618033988749895 при k→∞ только для SIGMA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</si>
</sst>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
    <numFmt numFmtId="165" formatCode="0.0000"/>
    <numFmt numFmtId="166" formatCode="0.0000E+00"/>
    <numFmt numFmtId="167" formatCode="0.000000E+00"/>
    <numFmt numFmtId="168" formatCode="#,##0.000000"/>
  </numFmts>
  <fonts count="29" x14ac:knownFonts="1">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i/>
      <sz val="14"/>
      <name val="Arial Cyr"/>
      <charset val="204"/>
    </font>
    <font>
      <sz val="8"/>
      <color indexed="81"/>
      <name val="Tahoma"/>
      <family val="2"/>
      <charset val="204"/>
    </font>
    <font>
      <b/>
      <sz val="8"/>
      <color indexed="81"/>
      <name val="Tahoma"/>
      <family val="2"/>
      <charset val="204"/>
    </font>
    <font>
      <vertAlign val="superscript"/>
      <sz val="10"/>
      <name val="Arial Cyr"/>
      <charset val="204"/>
    </font>
    <font>
      <b/>
      <sz val="8"/>
      <name val="Arial Cyr"/>
      <charset val="204"/>
    </font>
    <font>
      <b/>
      <vertAlign val="superscript"/>
      <sz val="8"/>
      <name val="Arial Cyr"/>
      <charset val="204"/>
    </font>
    <font>
      <b/>
      <sz val="10"/>
      <name val="Arial"/>
      <family val="2"/>
      <charset val="204"/>
    </font>
    <font>
      <b/>
      <vertAlign val="superscript"/>
      <sz val="10"/>
      <name val="Arial"/>
      <family val="2"/>
      <charset val="204"/>
    </font>
    <font>
      <sz val="10"/>
      <name val="Arial"/>
      <family val="2"/>
      <charset val="204"/>
    </font>
    <font>
      <b/>
      <sz val="8"/>
      <name val="Arial"/>
      <family val="2"/>
    </font>
    <font>
      <b/>
      <sz val="10"/>
      <name val="Arial Cyr"/>
    </font>
    <font>
      <b/>
      <sz val="8"/>
      <name val="Arial Cyr"/>
    </font>
    <font>
      <sz val="12"/>
      <name val="Times New Roman"/>
      <family val="1"/>
      <charset val="204"/>
    </font>
    <font>
      <vertAlign val="subscript"/>
      <sz val="8"/>
      <name val="Arial Cyr"/>
      <charset val="204"/>
    </font>
    <font>
      <b/>
      <vertAlign val="superscript"/>
      <sz val="10"/>
      <name val="Arial Cyr"/>
      <charset val="204"/>
    </font>
    <font>
      <sz val="10"/>
      <name val="Arial"/>
      <family val="2"/>
      <charset val="204"/>
    </font>
    <font>
      <sz val="10"/>
      <color theme="1"/>
      <name val="Calibri"/>
      <family val="2"/>
      <scheme val="minor"/>
    </font>
    <font>
      <sz val="10"/>
      <name val="Calibri"/>
      <family val="2"/>
      <scheme val="minor"/>
    </font>
    <font>
      <sz val="10"/>
      <color theme="1"/>
      <name val="Times New Roman"/>
      <family val="1"/>
      <charset val="204"/>
    </font>
    <font>
      <b/>
      <sz val="9"/>
      <color indexed="81"/>
      <name val="Tahoma"/>
      <family val="2"/>
      <charset val="204"/>
    </font>
    <font>
      <sz val="9"/>
      <color indexed="81"/>
      <name val="Tahoma"/>
      <family val="2"/>
      <charset val="204"/>
    </font>
    <font>
      <b/>
      <i/>
      <sz val="10"/>
      <color rgb="FFFF0000"/>
      <name val="Arial Cyr"/>
      <charset val="204"/>
    </font>
    <font>
      <sz val="10"/>
      <color theme="1"/>
      <name val="Arial Cyr"/>
      <charset val="204"/>
    </font>
    <font>
      <b/>
      <i/>
      <sz val="12"/>
      <name val="Times New Roman"/>
      <family val="1"/>
      <charset val="204"/>
    </font>
  </fonts>
  <fills count="7">
    <fill>
      <patternFill patternType="none"/>
    </fill>
    <fill>
      <patternFill patternType="gray125"/>
    </fill>
    <fill>
      <patternFill patternType="solid">
        <fgColor indexed="13"/>
        <bgColor indexed="64"/>
      </patternFill>
    </fill>
    <fill>
      <patternFill patternType="solid">
        <fgColor indexed="15"/>
        <bgColor indexed="64"/>
      </patternFill>
    </fill>
    <fill>
      <patternFill patternType="solid">
        <fgColor indexed="41"/>
        <bgColor indexed="64"/>
      </patternFill>
    </fill>
    <fill>
      <patternFill patternType="solid">
        <fgColor theme="0"/>
        <bgColor indexed="64"/>
      </patternFill>
    </fill>
    <fill>
      <patternFill patternType="solid">
        <fgColor theme="8" tint="0.3999755851924192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174">
    <xf numFmtId="0" fontId="0" fillId="0" borderId="0" xfId="0"/>
    <xf numFmtId="0" fontId="0" fillId="0" borderId="1" xfId="0" applyBorder="1"/>
    <xf numFmtId="0" fontId="3"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0" fillId="0" borderId="0" xfId="0" applyBorder="1"/>
    <xf numFmtId="0" fontId="0" fillId="0" borderId="1" xfId="0" applyBorder="1" applyProtection="1">
      <protection locked="0"/>
    </xf>
    <xf numFmtId="0" fontId="0" fillId="0" borderId="0" xfId="0" applyBorder="1" applyProtection="1">
      <protection locked="0"/>
    </xf>
    <xf numFmtId="0" fontId="0" fillId="0" borderId="1" xfId="0" applyBorder="1" applyProtection="1"/>
    <xf numFmtId="0" fontId="0" fillId="0" borderId="0" xfId="0" applyProtection="1">
      <protection locked="0"/>
    </xf>
    <xf numFmtId="0" fontId="0" fillId="0" borderId="7" xfId="0" applyBorder="1" applyProtection="1">
      <protection locked="0"/>
    </xf>
    <xf numFmtId="0" fontId="2" fillId="0" borderId="8" xfId="0" applyFont="1" applyBorder="1" applyAlignment="1" applyProtection="1">
      <alignment horizontal="center" vertical="center"/>
      <protection locked="0"/>
    </xf>
    <xf numFmtId="166" fontId="2" fillId="0" borderId="9" xfId="0" applyNumberFormat="1" applyFont="1" applyBorder="1" applyAlignment="1" applyProtection="1">
      <alignment horizontal="center" vertical="center"/>
      <protection locked="0"/>
    </xf>
    <xf numFmtId="0" fontId="2" fillId="0" borderId="1" xfId="0" applyFont="1" applyBorder="1" applyAlignment="1" applyProtection="1">
      <alignment horizontal="center" vertical="center"/>
      <protection locked="0"/>
    </xf>
    <xf numFmtId="0" fontId="2" fillId="0" borderId="1" xfId="0" applyFont="1" applyBorder="1" applyProtection="1">
      <protection locked="0"/>
    </xf>
    <xf numFmtId="166" fontId="2" fillId="0" borderId="1" xfId="0" applyNumberFormat="1" applyFont="1" applyBorder="1" applyAlignment="1" applyProtection="1">
      <alignment horizontal="center" vertical="center"/>
      <protection locked="0"/>
    </xf>
    <xf numFmtId="0" fontId="2" fillId="0" borderId="4" xfId="0" applyFont="1" applyBorder="1" applyProtection="1">
      <protection locked="0"/>
    </xf>
    <xf numFmtId="3" fontId="2" fillId="0" borderId="9" xfId="0" applyNumberFormat="1" applyFont="1" applyBorder="1" applyAlignment="1" applyProtection="1">
      <alignment horizontal="center" vertical="center"/>
      <protection locked="0"/>
    </xf>
    <xf numFmtId="0" fontId="0" fillId="0" borderId="10" xfId="0" applyBorder="1" applyProtection="1">
      <protection locked="0"/>
    </xf>
    <xf numFmtId="0" fontId="0" fillId="0" borderId="9" xfId="0" applyBorder="1" applyAlignment="1" applyProtection="1">
      <alignment horizontal="center" vertical="center"/>
      <protection locked="0"/>
    </xf>
    <xf numFmtId="166" fontId="0" fillId="0" borderId="1" xfId="0" applyNumberFormat="1" applyBorder="1" applyProtection="1">
      <protection locked="0"/>
    </xf>
    <xf numFmtId="0" fontId="3" fillId="0" borderId="1" xfId="0" applyFont="1" applyBorder="1" applyProtection="1"/>
    <xf numFmtId="0" fontId="1" fillId="0" borderId="7" xfId="0" applyFont="1" applyBorder="1" applyProtection="1"/>
    <xf numFmtId="0" fontId="9" fillId="0" borderId="2" xfId="0" applyFont="1" applyBorder="1" applyAlignment="1" applyProtection="1">
      <alignment horizontal="center" vertical="center"/>
    </xf>
    <xf numFmtId="0" fontId="9" fillId="0" borderId="1" xfId="0" applyFont="1" applyBorder="1" applyAlignment="1" applyProtection="1">
      <alignment horizontal="center" vertical="center"/>
    </xf>
    <xf numFmtId="0" fontId="0" fillId="0" borderId="11" xfId="0" applyBorder="1" applyAlignment="1" applyProtection="1">
      <alignment horizontal="center" vertical="center"/>
    </xf>
    <xf numFmtId="0" fontId="2" fillId="0" borderId="2" xfId="0" applyFont="1" applyBorder="1" applyAlignment="1" applyProtection="1">
      <alignment horizontal="center" vertical="center"/>
    </xf>
    <xf numFmtId="0" fontId="2" fillId="0" borderId="1" xfId="0" applyFont="1" applyBorder="1" applyAlignment="1" applyProtection="1">
      <alignment horizontal="center" vertical="center"/>
    </xf>
    <xf numFmtId="0" fontId="2" fillId="0" borderId="1" xfId="0" applyFont="1" applyBorder="1" applyProtection="1"/>
    <xf numFmtId="0" fontId="9" fillId="0" borderId="2" xfId="0" applyFont="1" applyBorder="1" applyAlignment="1" applyProtection="1">
      <alignment vertical="center"/>
    </xf>
    <xf numFmtId="0" fontId="11" fillId="0" borderId="12" xfId="0"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pplyAlignment="1">
      <alignment horizontal="center" vertical="center"/>
    </xf>
    <xf numFmtId="0" fontId="0" fillId="0" borderId="12" xfId="0" applyFill="1" applyBorder="1" applyAlignment="1" applyProtection="1">
      <alignment horizontal="center" vertical="center"/>
    </xf>
    <xf numFmtId="0" fontId="0" fillId="0" borderId="14" xfId="0" applyFill="1" applyBorder="1" applyAlignment="1" applyProtection="1">
      <alignment horizontal="center" vertical="center"/>
    </xf>
    <xf numFmtId="0" fontId="13" fillId="0" borderId="8" xfId="0" applyFont="1" applyBorder="1"/>
    <xf numFmtId="0" fontId="13" fillId="0" borderId="9" xfId="0" applyFont="1" applyBorder="1"/>
    <xf numFmtId="0" fontId="1" fillId="0" borderId="9" xfId="0" applyFont="1" applyBorder="1" applyAlignment="1" applyProtection="1">
      <alignment horizontal="center" vertical="center"/>
    </xf>
    <xf numFmtId="164" fontId="13" fillId="0" borderId="6" xfId="0" applyNumberFormat="1" applyFont="1" applyBorder="1"/>
    <xf numFmtId="0" fontId="0" fillId="0" borderId="15" xfId="0" applyBorder="1" applyAlignment="1" applyProtection="1">
      <alignment horizontal="center" vertical="center"/>
    </xf>
    <xf numFmtId="0" fontId="13" fillId="0" borderId="2" xfId="0" applyFont="1" applyBorder="1"/>
    <xf numFmtId="0" fontId="1" fillId="0" borderId="1" xfId="0" applyFont="1" applyBorder="1" applyAlignment="1" applyProtection="1">
      <alignment horizontal="center" vertical="center"/>
    </xf>
    <xf numFmtId="0" fontId="13" fillId="0" borderId="1" xfId="0" applyFont="1" applyBorder="1"/>
    <xf numFmtId="164" fontId="13" fillId="0" borderId="3" xfId="0" applyNumberFormat="1" applyFont="1" applyBorder="1"/>
    <xf numFmtId="0" fontId="13" fillId="0" borderId="16" xfId="0" applyFont="1" applyBorder="1"/>
    <xf numFmtId="0" fontId="1" fillId="0" borderId="4" xfId="0" applyFont="1" applyBorder="1" applyAlignment="1" applyProtection="1">
      <alignment horizontal="center" vertical="center"/>
    </xf>
    <xf numFmtId="0" fontId="13" fillId="0" borderId="4" xfId="0" applyFont="1" applyBorder="1"/>
    <xf numFmtId="164" fontId="13" fillId="0" borderId="5" xfId="0" applyNumberFormat="1" applyFont="1" applyBorder="1"/>
    <xf numFmtId="0" fontId="0" fillId="0" borderId="16" xfId="0" applyBorder="1"/>
    <xf numFmtId="0" fontId="3" fillId="0" borderId="0" xfId="0" applyFont="1" applyBorder="1" applyProtection="1"/>
    <xf numFmtId="0" fontId="0" fillId="0" borderId="0" xfId="0" applyBorder="1" applyProtection="1"/>
    <xf numFmtId="0" fontId="15" fillId="0" borderId="0" xfId="0" applyFont="1"/>
    <xf numFmtId="0" fontId="3" fillId="0" borderId="0" xfId="0" applyFont="1" applyBorder="1"/>
    <xf numFmtId="165" fontId="2" fillId="0" borderId="0" xfId="0" applyNumberFormat="1" applyFont="1" applyBorder="1" applyProtection="1">
      <protection locked="0"/>
    </xf>
    <xf numFmtId="3" fontId="0" fillId="0" borderId="0" xfId="0" applyNumberFormat="1" applyBorder="1" applyProtection="1">
      <protection locked="0"/>
    </xf>
    <xf numFmtId="1" fontId="0" fillId="0" borderId="0" xfId="0" applyNumberFormat="1" applyBorder="1" applyProtection="1">
      <protection locked="0"/>
    </xf>
    <xf numFmtId="0" fontId="3" fillId="0" borderId="1" xfId="0" applyFont="1" applyBorder="1" applyAlignment="1" applyProtection="1">
      <alignment wrapText="1"/>
    </xf>
    <xf numFmtId="0" fontId="3" fillId="0" borderId="7" xfId="0" applyFont="1" applyFill="1" applyBorder="1" applyAlignment="1" applyProtection="1">
      <alignment horizontal="center" vertical="center"/>
    </xf>
    <xf numFmtId="0" fontId="3" fillId="0" borderId="7" xfId="0" applyFont="1" applyFill="1" applyBorder="1" applyAlignment="1" applyProtection="1">
      <alignment horizontal="center" vertical="center" wrapText="1"/>
    </xf>
    <xf numFmtId="166" fontId="2" fillId="0" borderId="0" xfId="0" applyNumberFormat="1" applyFont="1" applyBorder="1" applyAlignment="1" applyProtection="1">
      <alignment horizontal="center" vertical="center"/>
      <protection locked="0"/>
    </xf>
    <xf numFmtId="0" fontId="0" fillId="0" borderId="12" xfId="0" applyBorder="1" applyAlignment="1" applyProtection="1">
      <alignment horizontal="center" vertical="center"/>
    </xf>
    <xf numFmtId="0" fontId="0" fillId="0" borderId="13" xfId="0" applyBorder="1" applyAlignment="1" applyProtection="1">
      <alignment horizontal="center" vertical="center"/>
    </xf>
    <xf numFmtId="166" fontId="2" fillId="2" borderId="14" xfId="0" applyNumberFormat="1" applyFont="1" applyFill="1" applyBorder="1" applyAlignment="1" applyProtection="1">
      <alignment horizontal="center" vertical="center"/>
      <protection locked="0"/>
    </xf>
    <xf numFmtId="0" fontId="1" fillId="0" borderId="8" xfId="0" applyFont="1" applyBorder="1" applyProtection="1">
      <protection locked="0"/>
    </xf>
    <xf numFmtId="165" fontId="1" fillId="0" borderId="9" xfId="0" applyNumberFormat="1" applyFont="1" applyBorder="1" applyProtection="1">
      <protection locked="0"/>
    </xf>
    <xf numFmtId="0" fontId="1" fillId="0" borderId="9" xfId="0" applyFont="1" applyBorder="1" applyProtection="1">
      <protection locked="0"/>
    </xf>
    <xf numFmtId="3" fontId="1" fillId="0" borderId="6" xfId="0" applyNumberFormat="1" applyFont="1" applyBorder="1" applyProtection="1">
      <protection locked="0"/>
    </xf>
    <xf numFmtId="0" fontId="1" fillId="0" borderId="2" xfId="0" applyFont="1" applyBorder="1" applyProtection="1">
      <protection locked="0"/>
    </xf>
    <xf numFmtId="165" fontId="1" fillId="0" borderId="1" xfId="0" applyNumberFormat="1" applyFont="1" applyBorder="1" applyProtection="1">
      <protection locked="0"/>
    </xf>
    <xf numFmtId="0" fontId="1" fillId="0" borderId="1" xfId="0" applyFont="1" applyBorder="1" applyProtection="1">
      <protection locked="0"/>
    </xf>
    <xf numFmtId="3" fontId="1" fillId="0" borderId="3" xfId="0" applyNumberFormat="1" applyFont="1" applyBorder="1" applyProtection="1">
      <protection locked="0"/>
    </xf>
    <xf numFmtId="0" fontId="1" fillId="0" borderId="16" xfId="0" applyFont="1" applyBorder="1" applyProtection="1">
      <protection locked="0"/>
    </xf>
    <xf numFmtId="165" fontId="1" fillId="0" borderId="4" xfId="0" applyNumberFormat="1" applyFont="1" applyBorder="1" applyProtection="1">
      <protection locked="0"/>
    </xf>
    <xf numFmtId="0" fontId="1" fillId="0" borderId="4" xfId="0" applyFont="1" applyBorder="1" applyProtection="1">
      <protection locked="0"/>
    </xf>
    <xf numFmtId="3" fontId="1" fillId="0" borderId="5" xfId="0" applyNumberFormat="1" applyFont="1" applyBorder="1" applyProtection="1">
      <protection locked="0"/>
    </xf>
    <xf numFmtId="166" fontId="2" fillId="0" borderId="17" xfId="0" applyNumberFormat="1" applyFont="1" applyBorder="1" applyAlignment="1" applyProtection="1">
      <alignment horizontal="center" vertical="center"/>
    </xf>
    <xf numFmtId="166" fontId="2" fillId="2" borderId="17" xfId="0" applyNumberFormat="1" applyFont="1" applyFill="1" applyBorder="1" applyAlignment="1" applyProtection="1">
      <alignment horizontal="center" vertical="center"/>
      <protection locked="0"/>
    </xf>
    <xf numFmtId="0" fontId="2" fillId="0" borderId="17" xfId="0" applyFont="1" applyBorder="1" applyAlignment="1" applyProtection="1">
      <alignment horizontal="center" vertical="center"/>
    </xf>
    <xf numFmtId="0" fontId="2" fillId="0" borderId="18" xfId="0" applyFont="1" applyBorder="1" applyProtection="1"/>
    <xf numFmtId="166" fontId="2" fillId="2" borderId="1" xfId="0" applyNumberFormat="1" applyFont="1" applyFill="1" applyBorder="1" applyProtection="1">
      <protection locked="0"/>
    </xf>
    <xf numFmtId="0" fontId="0" fillId="0" borderId="0" xfId="0" applyFill="1" applyBorder="1" applyProtection="1">
      <protection locked="0"/>
    </xf>
    <xf numFmtId="0" fontId="16" fillId="0" borderId="19" xfId="0" applyFont="1" applyBorder="1" applyAlignment="1" applyProtection="1">
      <alignment wrapText="1"/>
      <protection locked="0"/>
    </xf>
    <xf numFmtId="0" fontId="0" fillId="0" borderId="1" xfId="0" applyFill="1" applyBorder="1" applyProtection="1">
      <protection locked="0"/>
    </xf>
    <xf numFmtId="0" fontId="0" fillId="0" borderId="4" xfId="0" applyFill="1" applyBorder="1" applyProtection="1">
      <protection locked="0"/>
    </xf>
    <xf numFmtId="0" fontId="0" fillId="0" borderId="8" xfId="0" applyBorder="1"/>
    <xf numFmtId="0" fontId="0" fillId="0" borderId="9" xfId="0" applyBorder="1"/>
    <xf numFmtId="0" fontId="17" fillId="0" borderId="0" xfId="0" applyFont="1" applyBorder="1" applyAlignment="1">
      <alignment wrapText="1"/>
    </xf>
    <xf numFmtId="0" fontId="3" fillId="2" borderId="12" xfId="0" applyFont="1" applyFill="1" applyBorder="1" applyAlignment="1">
      <alignment horizontal="center" wrapText="1"/>
    </xf>
    <xf numFmtId="0" fontId="3" fillId="2" borderId="13" xfId="0" applyFont="1" applyFill="1" applyBorder="1" applyAlignment="1">
      <alignment horizontal="center" wrapText="1"/>
    </xf>
    <xf numFmtId="0" fontId="3" fillId="2" borderId="20" xfId="0" applyFont="1" applyFill="1" applyBorder="1" applyAlignment="1">
      <alignment horizontal="center" wrapText="1"/>
    </xf>
    <xf numFmtId="0" fontId="3" fillId="2" borderId="21" xfId="0" applyFont="1" applyFill="1" applyBorder="1" applyAlignment="1">
      <alignment horizontal="center" wrapText="1"/>
    </xf>
    <xf numFmtId="0" fontId="3" fillId="2" borderId="22" xfId="0" applyFont="1" applyFill="1" applyBorder="1" applyAlignment="1">
      <alignment horizontal="center" wrapText="1"/>
    </xf>
    <xf numFmtId="0" fontId="3" fillId="3" borderId="15" xfId="0" applyFont="1" applyFill="1" applyBorder="1" applyAlignment="1">
      <alignment horizontal="center"/>
    </xf>
    <xf numFmtId="11" fontId="0" fillId="0" borderId="23" xfId="0" applyNumberFormat="1" applyBorder="1"/>
    <xf numFmtId="0" fontId="20" fillId="0" borderId="8" xfId="0" applyFont="1" applyBorder="1" applyAlignment="1">
      <alignment horizontal="center"/>
    </xf>
    <xf numFmtId="0" fontId="0" fillId="0" borderId="6" xfId="0" applyBorder="1"/>
    <xf numFmtId="0" fontId="0" fillId="0" borderId="24" xfId="0" applyBorder="1"/>
    <xf numFmtId="0" fontId="20" fillId="0" borderId="2" xfId="0" applyFont="1" applyBorder="1" applyAlignment="1">
      <alignment horizontal="center"/>
    </xf>
    <xf numFmtId="0" fontId="11" fillId="0" borderId="16" xfId="0" applyFont="1" applyBorder="1" applyAlignment="1">
      <alignment horizontal="center"/>
    </xf>
    <xf numFmtId="0" fontId="3" fillId="3" borderId="25" xfId="0" applyFont="1" applyFill="1" applyBorder="1" applyAlignment="1">
      <alignment horizontal="center"/>
    </xf>
    <xf numFmtId="0" fontId="0" fillId="3" borderId="6" xfId="0" applyFill="1" applyBorder="1"/>
    <xf numFmtId="3" fontId="0" fillId="0" borderId="3" xfId="0" applyNumberFormat="1" applyBorder="1"/>
    <xf numFmtId="3" fontId="0" fillId="0" borderId="5" xfId="0" applyNumberFormat="1" applyBorder="1"/>
    <xf numFmtId="0" fontId="9" fillId="0" borderId="1" xfId="0" applyFont="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Fill="1" applyBorder="1" applyAlignment="1">
      <alignment horizontal="center" vertical="center" wrapText="1"/>
    </xf>
    <xf numFmtId="0" fontId="14" fillId="2" borderId="1" xfId="0" applyFont="1" applyFill="1" applyBorder="1"/>
    <xf numFmtId="11" fontId="14" fillId="2" borderId="1" xfId="0" applyNumberFormat="1" applyFont="1" applyFill="1" applyBorder="1"/>
    <xf numFmtId="0" fontId="2" fillId="2" borderId="1" xfId="0" applyFont="1" applyFill="1" applyBorder="1"/>
    <xf numFmtId="0" fontId="2" fillId="2" borderId="1" xfId="0" applyFont="1" applyFill="1" applyBorder="1" applyAlignment="1">
      <alignment horizontal="center"/>
    </xf>
    <xf numFmtId="168" fontId="2" fillId="2" borderId="1" xfId="0" applyNumberFormat="1" applyFont="1" applyFill="1" applyBorder="1" applyProtection="1">
      <protection hidden="1"/>
    </xf>
    <xf numFmtId="167" fontId="0" fillId="2" borderId="1" xfId="0" applyNumberFormat="1" applyFill="1" applyBorder="1" applyProtection="1">
      <protection hidden="1"/>
    </xf>
    <xf numFmtId="0" fontId="0" fillId="2" borderId="1" xfId="0" applyFill="1" applyBorder="1" applyProtection="1">
      <protection hidden="1"/>
    </xf>
    <xf numFmtId="0" fontId="0" fillId="0" borderId="1" xfId="0" applyBorder="1" applyAlignment="1">
      <alignment vertical="center"/>
    </xf>
    <xf numFmtId="11" fontId="0" fillId="0" borderId="1" xfId="0" applyNumberFormat="1" applyBorder="1" applyAlignment="1">
      <alignment vertical="center"/>
    </xf>
    <xf numFmtId="167" fontId="0" fillId="0" borderId="1" xfId="0" applyNumberFormat="1" applyBorder="1" applyAlignment="1">
      <alignment vertical="center"/>
    </xf>
    <xf numFmtId="168" fontId="1" fillId="0" borderId="1" xfId="0" applyNumberFormat="1" applyFont="1" applyFill="1" applyBorder="1" applyAlignment="1" applyProtection="1">
      <alignment vertical="center"/>
      <protection hidden="1"/>
    </xf>
    <xf numFmtId="167" fontId="1" fillId="0" borderId="1" xfId="0" applyNumberFormat="1" applyFont="1" applyFill="1" applyBorder="1" applyAlignment="1" applyProtection="1">
      <alignment vertical="center"/>
      <protection hidden="1"/>
    </xf>
    <xf numFmtId="0" fontId="0" fillId="0" borderId="1" xfId="0" applyBorder="1" applyAlignment="1" applyProtection="1">
      <alignment vertical="center"/>
      <protection hidden="1"/>
    </xf>
    <xf numFmtId="0" fontId="0" fillId="0" borderId="0" xfId="0" applyAlignment="1">
      <alignment vertical="center"/>
    </xf>
    <xf numFmtId="0" fontId="0" fillId="0" borderId="32" xfId="0" applyBorder="1" applyProtection="1">
      <protection locked="0"/>
    </xf>
    <xf numFmtId="0" fontId="2" fillId="0" borderId="33" xfId="0" applyFont="1" applyBorder="1" applyProtection="1">
      <protection locked="0"/>
    </xf>
    <xf numFmtId="0" fontId="9" fillId="0" borderId="33" xfId="0" applyFont="1" applyBorder="1" applyAlignment="1" applyProtection="1">
      <alignment horizontal="center" vertical="center"/>
    </xf>
    <xf numFmtId="0" fontId="2" fillId="0" borderId="35" xfId="0" applyFont="1" applyBorder="1" applyProtection="1">
      <protection locked="0"/>
    </xf>
    <xf numFmtId="0" fontId="2" fillId="0" borderId="36" xfId="0" applyFont="1" applyFill="1" applyBorder="1" applyAlignment="1" applyProtection="1">
      <alignment wrapText="1"/>
      <protection locked="0"/>
    </xf>
    <xf numFmtId="0" fontId="0" fillId="0" borderId="37" xfId="0" applyFill="1" applyBorder="1" applyProtection="1">
      <protection locked="0"/>
    </xf>
    <xf numFmtId="0" fontId="0" fillId="0" borderId="38" xfId="0" applyFill="1" applyBorder="1" applyProtection="1">
      <protection locked="0"/>
    </xf>
    <xf numFmtId="0" fontId="21" fillId="5" borderId="1" xfId="0" applyFont="1" applyFill="1" applyBorder="1"/>
    <xf numFmtId="0" fontId="22" fillId="5" borderId="1" xfId="0" applyFont="1" applyFill="1" applyBorder="1"/>
    <xf numFmtId="0" fontId="0" fillId="0" borderId="1" xfId="0" applyFont="1" applyBorder="1" applyAlignment="1">
      <alignment vertical="center" wrapText="1"/>
    </xf>
    <xf numFmtId="0" fontId="23" fillId="5" borderId="1" xfId="0" applyFont="1" applyFill="1" applyBorder="1" applyAlignment="1">
      <alignment vertical="center"/>
    </xf>
    <xf numFmtId="0" fontId="23" fillId="5" borderId="1" xfId="0" applyFont="1" applyFill="1" applyBorder="1"/>
    <xf numFmtId="167" fontId="0" fillId="0" borderId="0" xfId="0" applyNumberFormat="1"/>
    <xf numFmtId="0" fontId="27" fillId="5" borderId="1" xfId="0" applyFont="1" applyFill="1" applyBorder="1"/>
    <xf numFmtId="0" fontId="0" fillId="6" borderId="1" xfId="0" applyFill="1" applyBorder="1" applyAlignment="1">
      <alignment vertical="center"/>
    </xf>
    <xf numFmtId="11" fontId="0" fillId="6" borderId="1" xfId="0" applyNumberFormat="1" applyFill="1" applyBorder="1" applyAlignment="1">
      <alignment vertical="center"/>
    </xf>
    <xf numFmtId="167" fontId="0" fillId="6" borderId="1" xfId="0" applyNumberFormat="1" applyFill="1" applyBorder="1" applyAlignment="1">
      <alignment vertical="center"/>
    </xf>
    <xf numFmtId="0" fontId="0" fillId="6" borderId="1" xfId="0" applyFont="1" applyFill="1" applyBorder="1" applyAlignment="1">
      <alignment vertical="center" wrapText="1"/>
    </xf>
    <xf numFmtId="168" fontId="1" fillId="6" borderId="1" xfId="0" applyNumberFormat="1" applyFont="1" applyFill="1" applyBorder="1" applyAlignment="1" applyProtection="1">
      <alignment vertical="center"/>
      <protection hidden="1"/>
    </xf>
    <xf numFmtId="167" fontId="1" fillId="6" borderId="1" xfId="0" applyNumberFormat="1" applyFont="1" applyFill="1" applyBorder="1" applyAlignment="1" applyProtection="1">
      <alignment vertical="center"/>
      <protection hidden="1"/>
    </xf>
    <xf numFmtId="0" fontId="0" fillId="6" borderId="1" xfId="0" applyFill="1" applyBorder="1" applyAlignment="1" applyProtection="1">
      <alignment vertical="center"/>
      <protection hidden="1"/>
    </xf>
    <xf numFmtId="0" fontId="0" fillId="6" borderId="0" xfId="0" applyFill="1" applyAlignment="1">
      <alignment vertical="center"/>
    </xf>
    <xf numFmtId="166" fontId="2" fillId="2" borderId="2" xfId="0" applyNumberFormat="1" applyFont="1" applyFill="1" applyBorder="1" applyAlignment="1" applyProtection="1">
      <alignment horizontal="center" vertical="center"/>
      <protection locked="0"/>
    </xf>
    <xf numFmtId="166" fontId="2" fillId="2" borderId="1" xfId="0" applyNumberFormat="1" applyFont="1" applyFill="1" applyBorder="1" applyAlignment="1" applyProtection="1">
      <alignment horizontal="center" vertical="center"/>
      <protection locked="0"/>
    </xf>
    <xf numFmtId="0" fontId="28" fillId="0" borderId="0" xfId="0" applyFont="1" applyBorder="1" applyAlignment="1">
      <alignment horizontal="center" wrapText="1"/>
    </xf>
    <xf numFmtId="0" fontId="17" fillId="0" borderId="26" xfId="0" applyFont="1" applyBorder="1" applyAlignment="1">
      <alignment horizontal="center" wrapText="1"/>
    </xf>
    <xf numFmtId="0" fontId="17" fillId="0" borderId="27" xfId="0" applyFont="1" applyBorder="1" applyAlignment="1">
      <alignment horizontal="center" wrapText="1"/>
    </xf>
    <xf numFmtId="0" fontId="17" fillId="0" borderId="28" xfId="0" applyFont="1" applyBorder="1" applyAlignment="1">
      <alignment horizontal="center" wrapText="1"/>
    </xf>
    <xf numFmtId="0" fontId="17" fillId="0" borderId="29" xfId="0" applyFont="1" applyBorder="1" applyAlignment="1">
      <alignment horizontal="center" wrapText="1"/>
    </xf>
    <xf numFmtId="0" fontId="17" fillId="0" borderId="30" xfId="0" applyFont="1" applyBorder="1" applyAlignment="1">
      <alignment horizontal="center" wrapText="1"/>
    </xf>
    <xf numFmtId="0" fontId="17" fillId="0" borderId="31" xfId="0" applyFont="1" applyBorder="1" applyAlignment="1">
      <alignment horizontal="center" wrapText="1"/>
    </xf>
    <xf numFmtId="0" fontId="0" fillId="0" borderId="2" xfId="0" applyBorder="1" applyAlignment="1" applyProtection="1">
      <alignment horizontal="center"/>
    </xf>
    <xf numFmtId="0" fontId="0" fillId="0" borderId="1" xfId="0" applyBorder="1" applyAlignment="1" applyProtection="1">
      <alignment horizontal="center"/>
    </xf>
    <xf numFmtId="0" fontId="0" fillId="0" borderId="33" xfId="0" applyBorder="1" applyAlignment="1" applyProtection="1">
      <alignment horizontal="center"/>
    </xf>
    <xf numFmtId="0" fontId="0" fillId="0" borderId="16" xfId="0" applyFill="1" applyBorder="1" applyAlignment="1" applyProtection="1">
      <alignment horizontal="center"/>
    </xf>
    <xf numFmtId="0" fontId="0" fillId="0" borderId="4" xfId="0" applyFill="1" applyBorder="1" applyAlignment="1" applyProtection="1">
      <alignment horizontal="center"/>
    </xf>
    <xf numFmtId="0" fontId="0" fillId="0" borderId="5" xfId="0" applyFill="1" applyBorder="1" applyAlignment="1" applyProtection="1">
      <alignment horizontal="center"/>
    </xf>
    <xf numFmtId="0" fontId="0" fillId="4" borderId="2" xfId="0" applyFill="1" applyBorder="1" applyAlignment="1" applyProtection="1">
      <alignment horizontal="center"/>
    </xf>
    <xf numFmtId="0" fontId="0" fillId="4" borderId="1" xfId="0" applyFill="1" applyBorder="1" applyAlignment="1" applyProtection="1">
      <alignment horizontal="center"/>
    </xf>
    <xf numFmtId="0" fontId="0" fillId="4" borderId="3" xfId="0" applyFill="1" applyBorder="1" applyAlignment="1" applyProtection="1">
      <alignment horizontal="center"/>
    </xf>
    <xf numFmtId="0" fontId="0" fillId="0" borderId="34" xfId="0" applyBorder="1" applyAlignment="1" applyProtection="1">
      <alignment horizontal="center"/>
    </xf>
    <xf numFmtId="0" fontId="0" fillId="0" borderId="7" xfId="0" applyBorder="1" applyAlignment="1" applyProtection="1">
      <alignment horizontal="center"/>
    </xf>
    <xf numFmtId="0" fontId="0" fillId="0" borderId="10" xfId="0" applyBorder="1" applyAlignment="1" applyProtection="1">
      <alignment horizontal="center"/>
    </xf>
    <xf numFmtId="0" fontId="0" fillId="4" borderId="8" xfId="0" applyFill="1" applyBorder="1" applyAlignment="1" applyProtection="1">
      <alignment horizontal="center"/>
    </xf>
    <xf numFmtId="0" fontId="0" fillId="4" borderId="9" xfId="0" applyFill="1" applyBorder="1" applyAlignment="1" applyProtection="1">
      <alignment horizontal="center"/>
    </xf>
    <xf numFmtId="0" fontId="0" fillId="4" borderId="6" xfId="0" applyFill="1" applyBorder="1" applyAlignment="1" applyProtection="1">
      <alignment horizontal="center"/>
    </xf>
    <xf numFmtId="0" fontId="0" fillId="0" borderId="8" xfId="0" applyBorder="1" applyAlignment="1" applyProtection="1">
      <alignment horizontal="center"/>
    </xf>
    <xf numFmtId="0" fontId="0" fillId="0" borderId="9" xfId="0" applyBorder="1" applyAlignment="1" applyProtection="1">
      <alignment horizontal="center"/>
    </xf>
    <xf numFmtId="0" fontId="0" fillId="0" borderId="32" xfId="0" applyBorder="1" applyAlignment="1" applyProtection="1">
      <alignment horizontal="center"/>
    </xf>
    <xf numFmtId="0" fontId="3" fillId="0" borderId="2" xfId="0" applyFont="1" applyBorder="1" applyAlignment="1" applyProtection="1">
      <alignment horizontal="center"/>
    </xf>
    <xf numFmtId="0" fontId="3" fillId="0" borderId="1" xfId="0" applyFont="1" applyBorder="1" applyAlignment="1" applyProtection="1">
      <alignment horizontal="center"/>
    </xf>
    <xf numFmtId="0" fontId="3" fillId="0" borderId="33" xfId="0" applyFont="1" applyBorder="1" applyAlignment="1" applyProtection="1">
      <alignment horizontal="center"/>
    </xf>
  </cellXfs>
  <cellStyles count="1">
    <cellStyle name="Обычный" xfId="0" builtinId="0"/>
  </cellStyles>
  <dxfs count="9">
    <dxf>
      <fill>
        <patternFill>
          <bgColor indexed="11"/>
        </patternFill>
      </fill>
    </dxf>
    <dxf>
      <fill>
        <patternFill>
          <bgColor indexed="26"/>
        </patternFill>
      </fill>
    </dxf>
    <dxf>
      <fill>
        <patternFill>
          <bgColor indexed="11"/>
        </patternFill>
      </fill>
    </dxf>
    <dxf>
      <fill>
        <patternFill>
          <bgColor indexed="27"/>
        </patternFill>
      </fill>
    </dxf>
    <dxf>
      <fill>
        <patternFill>
          <bgColor indexed="26"/>
        </patternFill>
      </fill>
    </dxf>
    <dxf>
      <fill>
        <patternFill>
          <bgColor indexed="11"/>
        </patternFill>
      </fill>
    </dxf>
    <dxf>
      <fill>
        <patternFill>
          <bgColor indexed="27"/>
        </patternFill>
      </fill>
    </dxf>
    <dxf>
      <fill>
        <patternFill>
          <bgColor indexed="15"/>
        </patternFill>
      </fill>
    </dxf>
    <dxf>
      <fill>
        <patternFill>
          <bgColor indexed="1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baseline="0">
                <a:effectLst/>
              </a:rPr>
              <a:t>Рис. 9.1  Зависимость </a:t>
            </a:r>
            <a:r>
              <a:rPr lang="ru-RU" sz="1400" b="1" i="1" baseline="0">
                <a:effectLst/>
              </a:rPr>
              <a:t>Колличества итераций</a:t>
            </a:r>
            <a:r>
              <a:rPr lang="ru-RU" sz="1400" b="1" i="0" baseline="0">
                <a:effectLst/>
              </a:rPr>
              <a:t> от </a:t>
            </a:r>
            <a:r>
              <a:rPr lang="ru-RU" sz="1400" b="1" i="1" baseline="0">
                <a:effectLst/>
              </a:rPr>
              <a:t>Допустимой погрешности</a:t>
            </a:r>
            <a:endParaRPr lang="ru-KG"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sheet5!$F$11</c:f>
              <c:strCache>
                <c:ptCount val="1"/>
                <c:pt idx="0">
                  <c:v>Колличество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sheet5!$G$12:$G$24</c:f>
              <c:numCache>
                <c:formatCode>General</c:formatCode>
                <c:ptCount val="13"/>
                <c:pt idx="0">
                  <c:v>0.1</c:v>
                </c:pt>
                <c:pt idx="1">
                  <c:v>0.01</c:v>
                </c:pt>
                <c:pt idx="2">
                  <c:v>1E-3</c:v>
                </c:pt>
                <c:pt idx="3">
                  <c:v>1E-4</c:v>
                </c:pt>
                <c:pt idx="4">
                  <c:v>1.0000000000000001E-5</c:v>
                </c:pt>
                <c:pt idx="5">
                  <c:v>1.0000000000000002E-6</c:v>
                </c:pt>
                <c:pt idx="6">
                  <c:v>1.0000000000000002E-7</c:v>
                </c:pt>
                <c:pt idx="7">
                  <c:v>1.0000000000000002E-8</c:v>
                </c:pt>
                <c:pt idx="8">
                  <c:v>1.0000000000000003E-9</c:v>
                </c:pt>
                <c:pt idx="9">
                  <c:v>1.0000000000000003E-10</c:v>
                </c:pt>
                <c:pt idx="10">
                  <c:v>1.0000000000000003E-11</c:v>
                </c:pt>
                <c:pt idx="11">
                  <c:v>1.0000000000000002E-12</c:v>
                </c:pt>
                <c:pt idx="12">
                  <c:v>1.0000000000000002E-13</c:v>
                </c:pt>
              </c:numCache>
            </c:numRef>
          </c:cat>
          <c:val>
            <c:numRef>
              <c:f>sheet5!$F$12:$F$24</c:f>
              <c:numCache>
                <c:formatCode>General</c:formatCode>
                <c:ptCount val="13"/>
                <c:pt idx="0">
                  <c:v>37</c:v>
                </c:pt>
                <c:pt idx="1">
                  <c:v>42</c:v>
                </c:pt>
                <c:pt idx="2">
                  <c:v>47</c:v>
                </c:pt>
                <c:pt idx="3">
                  <c:v>51</c:v>
                </c:pt>
                <c:pt idx="4">
                  <c:v>56</c:v>
                </c:pt>
                <c:pt idx="5">
                  <c:v>61</c:v>
                </c:pt>
                <c:pt idx="6">
                  <c:v>66</c:v>
                </c:pt>
                <c:pt idx="7">
                  <c:v>70</c:v>
                </c:pt>
                <c:pt idx="8">
                  <c:v>75</c:v>
                </c:pt>
                <c:pt idx="9">
                  <c:v>80</c:v>
                </c:pt>
                <c:pt idx="10">
                  <c:v>85</c:v>
                </c:pt>
                <c:pt idx="11">
                  <c:v>90</c:v>
                </c:pt>
                <c:pt idx="12">
                  <c:v>94</c:v>
                </c:pt>
              </c:numCache>
            </c:numRef>
          </c:val>
          <c:smooth val="0"/>
          <c:extLst>
            <c:ext xmlns:c16="http://schemas.microsoft.com/office/drawing/2014/chart" uri="{C3380CC4-5D6E-409C-BE32-E72D297353CC}">
              <c16:uniqueId val="{00000000-BC80-4948-A5A8-87156F7A5C29}"/>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Допустимая</a:t>
                </a:r>
                <a:r>
                  <a:rPr lang="ru-RU" sz="1400" b="1" baseline="0"/>
                  <a:t> </a:t>
                </a:r>
                <a:r>
                  <a:rPr lang="ru-RU" sz="1400" b="1"/>
                  <a:t>погрешность</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3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12"/>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400" b="1" i="0" baseline="0">
                <a:effectLst/>
              </a:rPr>
              <a:t>Рис. 9.2  Зависимость </a:t>
            </a:r>
            <a:r>
              <a:rPr lang="ru-RU" sz="1400" b="1" i="1" baseline="0">
                <a:effectLst/>
              </a:rPr>
              <a:t>Колличества итераций</a:t>
            </a:r>
            <a:r>
              <a:rPr lang="ru-RU" sz="1400" b="1" i="0" baseline="0">
                <a:effectLst/>
              </a:rPr>
              <a:t> от </a:t>
            </a:r>
            <a:r>
              <a:rPr lang="ru-RU" sz="1400" b="1" i="1" baseline="0">
                <a:effectLst/>
              </a:rPr>
              <a:t>Размера области поиска</a:t>
            </a:r>
            <a:endParaRPr lang="ru-KG" sz="11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ru-KG"/>
        </a:p>
      </c:txPr>
    </c:title>
    <c:autoTitleDeleted val="0"/>
    <c:plotArea>
      <c:layout/>
      <c:lineChart>
        <c:grouping val="standard"/>
        <c:varyColors val="0"/>
        <c:ser>
          <c:idx val="0"/>
          <c:order val="0"/>
          <c:tx>
            <c:strRef>
              <c:f>sheet5!$F$27</c:f>
              <c:strCache>
                <c:ptCount val="1"/>
                <c:pt idx="0">
                  <c:v>Колличество итераций</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sheet5!$H$28:$H$39</c:f>
              <c:numCache>
                <c:formatCode>#,##0</c:formatCode>
                <c:ptCount val="12"/>
                <c:pt idx="0">
                  <c:v>100000000000</c:v>
                </c:pt>
                <c:pt idx="1">
                  <c:v>10000000000</c:v>
                </c:pt>
                <c:pt idx="2">
                  <c:v>1000000000</c:v>
                </c:pt>
                <c:pt idx="3">
                  <c:v>100000000</c:v>
                </c:pt>
                <c:pt idx="4">
                  <c:v>10000000</c:v>
                </c:pt>
                <c:pt idx="5">
                  <c:v>1000000</c:v>
                </c:pt>
                <c:pt idx="6">
                  <c:v>100000</c:v>
                </c:pt>
                <c:pt idx="7">
                  <c:v>10000</c:v>
                </c:pt>
                <c:pt idx="8">
                  <c:v>1000</c:v>
                </c:pt>
                <c:pt idx="9">
                  <c:v>100</c:v>
                </c:pt>
                <c:pt idx="10">
                  <c:v>10</c:v>
                </c:pt>
                <c:pt idx="11">
                  <c:v>1</c:v>
                </c:pt>
              </c:numCache>
            </c:numRef>
          </c:cat>
          <c:val>
            <c:numRef>
              <c:f>sheet5!$F$28:$F$39</c:f>
              <c:numCache>
                <c:formatCode>General</c:formatCode>
                <c:ptCount val="12"/>
                <c:pt idx="0">
                  <c:v>94</c:v>
                </c:pt>
                <c:pt idx="1">
                  <c:v>90</c:v>
                </c:pt>
                <c:pt idx="2">
                  <c:v>85</c:v>
                </c:pt>
                <c:pt idx="3">
                  <c:v>80</c:v>
                </c:pt>
                <c:pt idx="4">
                  <c:v>75</c:v>
                </c:pt>
                <c:pt idx="5">
                  <c:v>70</c:v>
                </c:pt>
                <c:pt idx="6">
                  <c:v>66</c:v>
                </c:pt>
                <c:pt idx="7">
                  <c:v>61</c:v>
                </c:pt>
                <c:pt idx="8">
                  <c:v>56</c:v>
                </c:pt>
                <c:pt idx="9">
                  <c:v>51</c:v>
                </c:pt>
                <c:pt idx="10">
                  <c:v>47</c:v>
                </c:pt>
                <c:pt idx="11">
                  <c:v>42</c:v>
                </c:pt>
              </c:numCache>
            </c:numRef>
          </c:val>
          <c:smooth val="0"/>
          <c:extLst>
            <c:ext xmlns:c16="http://schemas.microsoft.com/office/drawing/2014/chart" uri="{C3380CC4-5D6E-409C-BE32-E72D297353CC}">
              <c16:uniqueId val="{00000000-BC80-4948-A5A8-87156F7A5C29}"/>
            </c:ext>
          </c:extLst>
        </c:ser>
        <c:dLbls>
          <c:showLegendKey val="0"/>
          <c:showVal val="0"/>
          <c:showCatName val="0"/>
          <c:showSerName val="0"/>
          <c:showPercent val="0"/>
          <c:showBubbleSize val="0"/>
        </c:dLbls>
        <c:marker val="1"/>
        <c:smooth val="0"/>
        <c:axId val="1880174512"/>
        <c:axId val="1656939808"/>
      </c:lineChart>
      <c:catAx>
        <c:axId val="1880174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Размер</a:t>
                </a:r>
                <a:r>
                  <a:rPr lang="ru-RU" sz="1400" b="1" baseline="0"/>
                  <a:t> области поиска</a:t>
                </a:r>
                <a:endParaRPr lang="ru-RU" sz="1400" b="1"/>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0.E+00"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656939808"/>
        <c:crosses val="autoZero"/>
        <c:auto val="1"/>
        <c:lblAlgn val="ctr"/>
        <c:lblOffset val="100"/>
        <c:noMultiLvlLbl val="0"/>
      </c:catAx>
      <c:valAx>
        <c:axId val="1656939808"/>
        <c:scaling>
          <c:orientation val="minMax"/>
          <c:min val="40"/>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400" b="1"/>
                  <a:t>Количество</a:t>
                </a:r>
                <a:r>
                  <a:rPr lang="ru-RU" sz="1400" b="1" baseline="0"/>
                  <a:t> итераций</a:t>
                </a:r>
                <a:endParaRPr lang="ru-RU" sz="1400"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ru-KG"/>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KG"/>
          </a:p>
        </c:txPr>
        <c:crossAx val="1880174512"/>
        <c:crosses val="autoZero"/>
        <c:crossBetween val="between"/>
        <c:majorUnit val="10"/>
      </c:valAx>
      <c:spPr>
        <a:solidFill>
          <a:schemeClr val="tx1">
            <a:lumMod val="50000"/>
            <a:lumOff val="50000"/>
            <a:alpha val="36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KG"/>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1" fmlaRange="$H$4:$H$24" noThreeD="1" sel="1" val="0"/>
</file>

<file path=xl/ctrlProps/ctrlProp2.xml><?xml version="1.0" encoding="utf-8"?>
<formControlPr xmlns="http://schemas.microsoft.com/office/spreadsheetml/2009/9/main" objectType="List" dx="16" fmlaLink="H6" fmlaRange="G5:G6" sel="2" val="0"/>
</file>

<file path=xl/ctrlProps/ctrlProp3.xml><?xml version="1.0" encoding="utf-8"?>
<formControlPr xmlns="http://schemas.microsoft.com/office/spreadsheetml/2009/9/main" objectType="Drop" dropLines="16" dropStyle="combo" dx="16" fmlaLink="$P$6" fmlaRange="$O$7:$O$22" sel="13" val="0"/>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57150</xdr:colOff>
          <xdr:row>5</xdr:row>
          <xdr:rowOff>0</xdr:rowOff>
        </xdr:from>
        <xdr:to>
          <xdr:col>5</xdr:col>
          <xdr:colOff>161925</xdr:colOff>
          <xdr:row>21</xdr:row>
          <xdr:rowOff>47625</xdr:rowOff>
        </xdr:to>
        <xdr:sp macro="" textlink="">
          <xdr:nvSpPr>
            <xdr:cNvPr id="2073" name="List Box 25" hidden="1">
              <a:extLst>
                <a:ext uri="{63B3BB69-23CF-44E3-9099-C40C66FF867C}">
                  <a14:compatExt spid="_x0000_s2073"/>
                </a:ext>
                <a:ext uri="{FF2B5EF4-FFF2-40B4-BE49-F238E27FC236}">
                  <a16:creationId xmlns:a16="http://schemas.microsoft.com/office/drawing/2014/main" id="{00000000-0008-0000-02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9525</xdr:colOff>
          <xdr:row>3</xdr:row>
          <xdr:rowOff>304800</xdr:rowOff>
        </xdr:from>
        <xdr:to>
          <xdr:col>8</xdr:col>
          <xdr:colOff>9525</xdr:colOff>
          <xdr:row>5</xdr:row>
          <xdr:rowOff>209550</xdr:rowOff>
        </xdr:to>
        <xdr:sp macro="" textlink="">
          <xdr:nvSpPr>
            <xdr:cNvPr id="1272" name="List Box 248" hidden="1">
              <a:extLst>
                <a:ext uri="{63B3BB69-23CF-44E3-9099-C40C66FF867C}">
                  <a14:compatExt spid="_x0000_s1272"/>
                </a:ext>
                <a:ext uri="{FF2B5EF4-FFF2-40B4-BE49-F238E27FC236}">
                  <a16:creationId xmlns:a16="http://schemas.microsoft.com/office/drawing/2014/main" id="{00000000-0008-0000-0300-0000F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5</xdr:row>
          <xdr:rowOff>9525</xdr:rowOff>
        </xdr:from>
        <xdr:to>
          <xdr:col>9</xdr:col>
          <xdr:colOff>0</xdr:colOff>
          <xdr:row>5</xdr:row>
          <xdr:rowOff>190500</xdr:rowOff>
        </xdr:to>
        <xdr:sp macro="" textlink="">
          <xdr:nvSpPr>
            <xdr:cNvPr id="1274" name="Drop Down 250" hidden="1">
              <a:extLst>
                <a:ext uri="{63B3BB69-23CF-44E3-9099-C40C66FF867C}">
                  <a14:compatExt spid="_x0000_s1274"/>
                </a:ext>
                <a:ext uri="{FF2B5EF4-FFF2-40B4-BE49-F238E27FC236}">
                  <a16:creationId xmlns:a16="http://schemas.microsoft.com/office/drawing/2014/main" id="{00000000-0008-0000-0300-0000F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142873</xdr:colOff>
      <xdr:row>7</xdr:row>
      <xdr:rowOff>85724</xdr:rowOff>
    </xdr:from>
    <xdr:to>
      <xdr:col>17</xdr:col>
      <xdr:colOff>428624</xdr:colOff>
      <xdr:row>25</xdr:row>
      <xdr:rowOff>123825</xdr:rowOff>
    </xdr:to>
    <xdr:graphicFrame macro="">
      <xdr:nvGraphicFramePr>
        <xdr:cNvPr id="4" name="Диаграмма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180973</xdr:colOff>
      <xdr:row>26</xdr:row>
      <xdr:rowOff>123824</xdr:rowOff>
    </xdr:from>
    <xdr:to>
      <xdr:col>17</xdr:col>
      <xdr:colOff>466724</xdr:colOff>
      <xdr:row>45</xdr:row>
      <xdr:rowOff>9525</xdr:rowOff>
    </xdr:to>
    <xdr:graphicFrame macro="">
      <xdr:nvGraphicFramePr>
        <xdr:cNvPr id="5" name="Диаграмма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K106"/>
  <sheetViews>
    <sheetView workbookViewId="0">
      <selection activeCell="E7" sqref="E7"/>
    </sheetView>
  </sheetViews>
  <sheetFormatPr defaultRowHeight="12.75" x14ac:dyDescent="0.2"/>
  <cols>
    <col min="1" max="1" width="4.42578125" customWidth="1"/>
    <col min="2" max="2" width="10" customWidth="1"/>
    <col min="3" max="3" width="10.140625" customWidth="1"/>
    <col min="4" max="4" width="6" bestFit="1" customWidth="1"/>
    <col min="5" max="5" width="9" bestFit="1" customWidth="1"/>
    <col min="6" max="6" width="8" bestFit="1" customWidth="1"/>
    <col min="7" max="7" width="19.140625" customWidth="1"/>
    <col min="8" max="8" width="46.7109375" customWidth="1"/>
    <col min="9" max="9" width="13.7109375" customWidth="1"/>
    <col min="10" max="10" width="14.28515625" customWidth="1"/>
    <col min="11" max="11" width="7" customWidth="1"/>
  </cols>
  <sheetData>
    <row r="1" spans="1:11" x14ac:dyDescent="0.2">
      <c r="A1" t="s">
        <v>0</v>
      </c>
    </row>
    <row r="2" spans="1:11" x14ac:dyDescent="0.2">
      <c r="A2" t="s">
        <v>74</v>
      </c>
    </row>
    <row r="3" spans="1:11" x14ac:dyDescent="0.2">
      <c r="A3" s="105" t="s">
        <v>1</v>
      </c>
      <c r="B3" s="106" t="s">
        <v>56</v>
      </c>
      <c r="C3" s="106" t="s">
        <v>57</v>
      </c>
      <c r="D3" s="106" t="s">
        <v>58</v>
      </c>
      <c r="E3" s="106" t="s">
        <v>59</v>
      </c>
      <c r="F3" s="106" t="s">
        <v>60</v>
      </c>
      <c r="G3" s="106" t="s">
        <v>73</v>
      </c>
      <c r="H3" s="106" t="s">
        <v>75</v>
      </c>
      <c r="I3" s="106" t="s">
        <v>61</v>
      </c>
      <c r="J3" s="106" t="s">
        <v>62</v>
      </c>
      <c r="K3" s="107" t="s">
        <v>14</v>
      </c>
    </row>
    <row r="4" spans="1:11" ht="12" customHeight="1" x14ac:dyDescent="0.2">
      <c r="A4" s="108">
        <v>0</v>
      </c>
      <c r="B4" s="109">
        <v>1E+20</v>
      </c>
      <c r="C4" s="108">
        <v>0</v>
      </c>
      <c r="D4" s="108">
        <v>400</v>
      </c>
      <c r="E4" s="108">
        <v>1.1100000000000001</v>
      </c>
      <c r="F4" s="110">
        <v>1.0000000000000001E-5</v>
      </c>
      <c r="G4" s="109">
        <v>400000</v>
      </c>
      <c r="H4" s="111" t="s">
        <v>2</v>
      </c>
      <c r="I4" s="112">
        <f>2*E4*D4/(2*E4-1)</f>
        <v>727.86885245901635</v>
      </c>
      <c r="J4" s="113">
        <f t="shared" ref="J4:J67" si="0">(K4*D4/G4)^(1/(2*E4))</f>
        <v>45462954.695323914</v>
      </c>
      <c r="K4" s="114">
        <f>B4/((1+C4)^(2*E4))</f>
        <v>1E+20</v>
      </c>
    </row>
    <row r="5" spans="1:11" s="121" customFormat="1" ht="1.5" hidden="1" customHeight="1" x14ac:dyDescent="0.2">
      <c r="A5" s="115">
        <v>1</v>
      </c>
      <c r="B5" s="116">
        <v>3.05E+36</v>
      </c>
      <c r="C5" s="115">
        <v>1.012</v>
      </c>
      <c r="D5" s="115">
        <v>7350</v>
      </c>
      <c r="E5" s="115">
        <v>2.7771999999999699</v>
      </c>
      <c r="F5" s="115">
        <v>1.0000000000000001E-5</v>
      </c>
      <c r="G5" s="117">
        <v>101020</v>
      </c>
      <c r="H5" s="131" t="s">
        <v>76</v>
      </c>
      <c r="I5" s="118">
        <f t="shared" ref="I5:I68" si="1">2*E5*D5/(2*E5-1)</f>
        <v>8963.8239943790832</v>
      </c>
      <c r="J5" s="119">
        <f t="shared" si="0"/>
        <v>1148174.841445196</v>
      </c>
      <c r="K5" s="120">
        <f t="shared" ref="K5:K68" si="2">B5/((1+C5)^(2*E5))</f>
        <v>6.2781054685220949E+34</v>
      </c>
    </row>
    <row r="6" spans="1:11" s="143" customFormat="1" ht="15.75" customHeight="1" x14ac:dyDescent="0.2">
      <c r="A6" s="136">
        <v>2</v>
      </c>
      <c r="B6" s="137">
        <v>3.0999999999999999E+36</v>
      </c>
      <c r="C6" s="136">
        <v>1.024</v>
      </c>
      <c r="D6" s="136">
        <v>7370</v>
      </c>
      <c r="E6" s="136">
        <v>2.78829999999996</v>
      </c>
      <c r="F6" s="136">
        <v>1.0000000000000001E-5</v>
      </c>
      <c r="G6" s="138">
        <v>101040</v>
      </c>
      <c r="H6" s="139" t="s">
        <v>77</v>
      </c>
      <c r="I6" s="140">
        <f t="shared" si="1"/>
        <v>8980.3657737185094</v>
      </c>
      <c r="J6" s="141">
        <f t="shared" si="0"/>
        <v>1080326.2091186845</v>
      </c>
      <c r="K6" s="142">
        <f t="shared" si="2"/>
        <v>6.0778247591187063E+34</v>
      </c>
    </row>
    <row r="7" spans="1:11" s="121" customFormat="1" ht="15.75" customHeight="1" x14ac:dyDescent="0.2">
      <c r="A7" s="115">
        <v>3</v>
      </c>
      <c r="B7" s="116">
        <v>3.1499999999999999E+36</v>
      </c>
      <c r="C7" s="115">
        <v>1.036</v>
      </c>
      <c r="D7" s="115">
        <v>7390</v>
      </c>
      <c r="E7" s="115">
        <v>2.7993999999999502</v>
      </c>
      <c r="F7" s="115">
        <v>1.0000000000000001E-5</v>
      </c>
      <c r="G7" s="117">
        <v>101060</v>
      </c>
      <c r="H7" s="131" t="s">
        <v>78</v>
      </c>
      <c r="I7" s="118">
        <f t="shared" si="1"/>
        <v>8996.9409411151082</v>
      </c>
      <c r="J7" s="119">
        <f t="shared" si="0"/>
        <v>1016917.2506178399</v>
      </c>
      <c r="K7" s="120">
        <f t="shared" si="2"/>
        <v>5.8820072381464851E+34</v>
      </c>
    </row>
    <row r="8" spans="1:11" s="121" customFormat="1" ht="15.75" customHeight="1" x14ac:dyDescent="0.2">
      <c r="A8" s="115">
        <v>4</v>
      </c>
      <c r="B8" s="116">
        <v>3.1999999999999999E+36</v>
      </c>
      <c r="C8" s="115">
        <v>1.048</v>
      </c>
      <c r="D8" s="115">
        <v>7410</v>
      </c>
      <c r="E8" s="115">
        <v>2.8104999999999398</v>
      </c>
      <c r="F8" s="115">
        <v>1.0000000000000001E-5</v>
      </c>
      <c r="G8" s="117">
        <v>101080</v>
      </c>
      <c r="H8" s="131" t="s">
        <v>79</v>
      </c>
      <c r="I8" s="118">
        <f t="shared" si="1"/>
        <v>9013.5490153646806</v>
      </c>
      <c r="J8" s="119">
        <f t="shared" si="0"/>
        <v>957631.87444918393</v>
      </c>
      <c r="K8" s="120">
        <f t="shared" si="2"/>
        <v>5.6906819851606197E+34</v>
      </c>
    </row>
    <row r="9" spans="1:11" s="121" customFormat="1" ht="15.75" customHeight="1" x14ac:dyDescent="0.2">
      <c r="A9" s="115">
        <v>5</v>
      </c>
      <c r="B9" s="116">
        <v>3.2499999999999999E+36</v>
      </c>
      <c r="C9" s="115">
        <v>1.06</v>
      </c>
      <c r="D9" s="115">
        <v>7430</v>
      </c>
      <c r="E9" s="115">
        <v>2.8215999999999299</v>
      </c>
      <c r="F9" s="115">
        <v>1.0000000000000001E-5</v>
      </c>
      <c r="G9" s="117">
        <v>101100</v>
      </c>
      <c r="H9" s="131" t="s">
        <v>80</v>
      </c>
      <c r="I9" s="118">
        <f t="shared" si="1"/>
        <v>9030.1895244659354</v>
      </c>
      <c r="J9" s="119">
        <f t="shared" si="0"/>
        <v>902178.14544177451</v>
      </c>
      <c r="K9" s="120">
        <f t="shared" si="2"/>
        <v>5.5038661418898251E+34</v>
      </c>
    </row>
    <row r="10" spans="1:11" s="121" customFormat="1" ht="15.75" customHeight="1" x14ac:dyDescent="0.2">
      <c r="A10" s="115">
        <v>6</v>
      </c>
      <c r="B10" s="116">
        <v>3.2999999999999999E+36</v>
      </c>
      <c r="C10" s="115">
        <v>1.0720000000000001</v>
      </c>
      <c r="D10" s="115">
        <v>7450</v>
      </c>
      <c r="E10" s="115">
        <v>2.8326999999999201</v>
      </c>
      <c r="F10" s="115">
        <v>1.0000000000000001E-5</v>
      </c>
      <c r="G10" s="117">
        <v>101120</v>
      </c>
      <c r="H10" s="131" t="s">
        <v>81</v>
      </c>
      <c r="I10" s="118">
        <f t="shared" si="1"/>
        <v>9046.8620054015209</v>
      </c>
      <c r="J10" s="119">
        <f t="shared" si="0"/>
        <v>850286.32614066824</v>
      </c>
      <c r="K10" s="120">
        <f t="shared" si="2"/>
        <v>5.3215658939965351E+34</v>
      </c>
    </row>
    <row r="11" spans="1:11" s="121" customFormat="1" ht="15.75" customHeight="1" x14ac:dyDescent="0.2">
      <c r="A11" s="115">
        <v>7</v>
      </c>
      <c r="B11" s="116">
        <v>3.3499999999999998E+36</v>
      </c>
      <c r="C11" s="115">
        <v>1.0840000000000001</v>
      </c>
      <c r="D11" s="115">
        <v>7470</v>
      </c>
      <c r="E11" s="115">
        <v>2.8437999999999102</v>
      </c>
      <c r="F11" s="115">
        <v>1.0000000000000001E-5</v>
      </c>
      <c r="G11" s="117">
        <v>101140</v>
      </c>
      <c r="H11" s="131" t="s">
        <v>82</v>
      </c>
      <c r="I11" s="118">
        <f t="shared" si="1"/>
        <v>9063.5660039253107</v>
      </c>
      <c r="J11" s="119">
        <f t="shared" si="0"/>
        <v>801707.08480953577</v>
      </c>
      <c r="K11" s="120">
        <f t="shared" si="2"/>
        <v>5.1437773922844837E+34</v>
      </c>
    </row>
    <row r="12" spans="1:11" s="121" customFormat="1" ht="15.75" customHeight="1" x14ac:dyDescent="0.2">
      <c r="A12" s="115">
        <v>8</v>
      </c>
      <c r="B12" s="116">
        <v>3.3999999999999998E+36</v>
      </c>
      <c r="C12" s="115">
        <v>1.0960000000000001</v>
      </c>
      <c r="D12" s="115">
        <v>7490</v>
      </c>
      <c r="E12" s="115">
        <v>2.8548999999998999</v>
      </c>
      <c r="F12" s="115">
        <v>1.0000000000000001E-5</v>
      </c>
      <c r="G12" s="117">
        <v>101160</v>
      </c>
      <c r="H12" s="131" t="s">
        <v>83</v>
      </c>
      <c r="I12" s="118">
        <f t="shared" si="1"/>
        <v>9080.3010743556679</v>
      </c>
      <c r="J12" s="119">
        <f t="shared" si="0"/>
        <v>756209.85535602528</v>
      </c>
      <c r="K12" s="120">
        <f t="shared" si="2"/>
        <v>4.9704876165806217E+34</v>
      </c>
    </row>
    <row r="13" spans="1:11" s="121" customFormat="1" ht="15.75" customHeight="1" x14ac:dyDescent="0.2">
      <c r="A13" s="115">
        <v>9</v>
      </c>
      <c r="B13" s="116">
        <v>3.4499999999999998E+36</v>
      </c>
      <c r="C13" s="115">
        <v>1.1080000000000001</v>
      </c>
      <c r="D13" s="115">
        <v>7510</v>
      </c>
      <c r="E13" s="115">
        <v>2.86599999999989</v>
      </c>
      <c r="F13" s="115">
        <v>1.0000000000000001E-5</v>
      </c>
      <c r="G13" s="117">
        <v>101180</v>
      </c>
      <c r="H13" s="131" t="s">
        <v>84</v>
      </c>
      <c r="I13" s="118">
        <f t="shared" si="1"/>
        <v>9097.0667793745451</v>
      </c>
      <c r="J13" s="119">
        <f t="shared" si="0"/>
        <v>713581.33581329416</v>
      </c>
      <c r="K13" s="120">
        <f t="shared" si="2"/>
        <v>4.8016751853612302E+34</v>
      </c>
    </row>
    <row r="14" spans="1:11" s="121" customFormat="1" ht="15.75" customHeight="1" x14ac:dyDescent="0.2">
      <c r="A14" s="115">
        <v>10</v>
      </c>
      <c r="B14" s="116">
        <v>3.4999999999999998E+36</v>
      </c>
      <c r="C14" s="115">
        <v>1.1200000000000001</v>
      </c>
      <c r="D14" s="115">
        <v>7530</v>
      </c>
      <c r="E14" s="115">
        <v>2.8770999999998801</v>
      </c>
      <c r="F14" s="115">
        <v>1.0000000000000001E-5</v>
      </c>
      <c r="G14" s="117">
        <v>101200</v>
      </c>
      <c r="H14" s="131" t="s">
        <v>85</v>
      </c>
      <c r="I14" s="118">
        <f t="shared" si="1"/>
        <v>9113.8626898322273</v>
      </c>
      <c r="J14" s="119">
        <f t="shared" si="0"/>
        <v>673624.11321357719</v>
      </c>
      <c r="K14" s="120">
        <f t="shared" si="2"/>
        <v>4.6373111140432745E+34</v>
      </c>
    </row>
    <row r="15" spans="1:11" s="121" customFormat="1" ht="15.75" customHeight="1" x14ac:dyDescent="0.2">
      <c r="A15" s="115">
        <v>11</v>
      </c>
      <c r="B15" s="116">
        <v>3.5499999999999998E+36</v>
      </c>
      <c r="C15" s="115">
        <v>1.1319999999999999</v>
      </c>
      <c r="D15" s="115">
        <v>7550</v>
      </c>
      <c r="E15" s="115">
        <v>2.8881999999998702</v>
      </c>
      <c r="F15" s="115">
        <v>1.0000000000000001E-5</v>
      </c>
      <c r="G15" s="117">
        <v>101220</v>
      </c>
      <c r="H15" s="131" t="s">
        <v>86</v>
      </c>
      <c r="I15" s="118">
        <f t="shared" si="1"/>
        <v>9130.6883845574939</v>
      </c>
      <c r="J15" s="119">
        <f t="shared" si="0"/>
        <v>636155.40378360823</v>
      </c>
      <c r="K15" s="120">
        <f t="shared" si="2"/>
        <v>4.4773595247191657E+34</v>
      </c>
    </row>
    <row r="16" spans="1:11" s="121" customFormat="1" ht="15.75" customHeight="1" x14ac:dyDescent="0.2">
      <c r="A16" s="115">
        <v>12</v>
      </c>
      <c r="B16" s="116">
        <v>3.5999999999999997E+36</v>
      </c>
      <c r="C16" s="115">
        <v>1.1439999999999999</v>
      </c>
      <c r="D16" s="115">
        <v>7570</v>
      </c>
      <c r="E16" s="115">
        <v>2.8992999999998599</v>
      </c>
      <c r="F16" s="115">
        <v>1.0000000000000001E-5</v>
      </c>
      <c r="G16" s="117">
        <v>101240</v>
      </c>
      <c r="H16" s="131" t="s">
        <v>87</v>
      </c>
      <c r="I16" s="118">
        <f t="shared" si="1"/>
        <v>9147.5434501730597</v>
      </c>
      <c r="J16" s="119">
        <f t="shared" si="0"/>
        <v>601005.89838730998</v>
      </c>
      <c r="K16" s="120">
        <f t="shared" si="2"/>
        <v>4.3217783099774785E+34</v>
      </c>
    </row>
    <row r="17" spans="1:11" s="121" customFormat="1" ht="15.75" customHeight="1" x14ac:dyDescent="0.2">
      <c r="A17" s="115">
        <v>13</v>
      </c>
      <c r="B17" s="116">
        <v>3.6499999999999997E+36</v>
      </c>
      <c r="C17" s="115">
        <v>1.1559999999999999</v>
      </c>
      <c r="D17" s="115">
        <v>7590</v>
      </c>
      <c r="E17" s="115">
        <v>2.91039999999985</v>
      </c>
      <c r="F17" s="115">
        <v>1.0000000000000001E-5</v>
      </c>
      <c r="G17" s="117">
        <v>101260</v>
      </c>
      <c r="H17" s="131" t="s">
        <v>88</v>
      </c>
      <c r="I17" s="118">
        <f t="shared" si="1"/>
        <v>9164.4274809161288</v>
      </c>
      <c r="J17" s="119">
        <f t="shared" si="0"/>
        <v>568018.70404640539</v>
      </c>
      <c r="K17" s="120">
        <f t="shared" si="2"/>
        <v>4.1705197533225364E+34</v>
      </c>
    </row>
    <row r="18" spans="1:11" s="121" customFormat="1" ht="15.75" customHeight="1" x14ac:dyDescent="0.2">
      <c r="A18" s="115">
        <v>14</v>
      </c>
      <c r="B18" s="116">
        <v>3.7000000000000003E+36</v>
      </c>
      <c r="C18" s="115">
        <v>1.1679999999999999</v>
      </c>
      <c r="D18" s="115">
        <v>7610</v>
      </c>
      <c r="E18" s="115">
        <v>2.9214999999998401</v>
      </c>
      <c r="F18" s="115">
        <v>1.0000000000000001E-5</v>
      </c>
      <c r="G18" s="117">
        <v>101280</v>
      </c>
      <c r="H18" s="131" t="s">
        <v>89</v>
      </c>
      <c r="I18" s="118">
        <f t="shared" si="1"/>
        <v>9181.3400784638652</v>
      </c>
      <c r="J18" s="119">
        <f t="shared" si="0"/>
        <v>537048.37319273863</v>
      </c>
      <c r="K18" s="120">
        <f t="shared" si="2"/>
        <v>4.0235311085818958E+34</v>
      </c>
    </row>
    <row r="19" spans="1:11" s="121" customFormat="1" ht="15.75" customHeight="1" x14ac:dyDescent="0.2">
      <c r="A19" s="115">
        <v>15</v>
      </c>
      <c r="B19" s="116">
        <v>3.7500000000000003E+36</v>
      </c>
      <c r="C19" s="115">
        <v>1.18</v>
      </c>
      <c r="D19" s="115">
        <v>7630</v>
      </c>
      <c r="E19" s="115">
        <v>2.9325999999998298</v>
      </c>
      <c r="F19" s="115">
        <v>1.0000000000000001E-5</v>
      </c>
      <c r="G19" s="117">
        <v>101300</v>
      </c>
      <c r="H19" s="135" t="s">
        <v>90</v>
      </c>
      <c r="I19" s="118">
        <f t="shared" si="1"/>
        <v>9198.2808517636549</v>
      </c>
      <c r="J19" s="119">
        <f t="shared" si="0"/>
        <v>507960.01305431232</v>
      </c>
      <c r="K19" s="120">
        <f t="shared" si="2"/>
        <v>3.8807551405731128E+34</v>
      </c>
    </row>
    <row r="20" spans="1:11" s="121" customFormat="1" ht="15.75" customHeight="1" x14ac:dyDescent="0.2">
      <c r="A20" s="115">
        <v>16</v>
      </c>
      <c r="B20" s="116">
        <v>3.8000000000000002E+36</v>
      </c>
      <c r="C20" s="115">
        <v>1.1919999999999999</v>
      </c>
      <c r="D20" s="115">
        <v>7650</v>
      </c>
      <c r="E20" s="115">
        <v>2.9436999999998199</v>
      </c>
      <c r="F20" s="115">
        <v>1.0000000000000001E-5</v>
      </c>
      <c r="G20" s="117">
        <v>101320</v>
      </c>
      <c r="H20" s="135" t="s">
        <v>91</v>
      </c>
      <c r="I20" s="118">
        <f t="shared" si="1"/>
        <v>9215.2494168679787</v>
      </c>
      <c r="J20" s="119">
        <f t="shared" si="0"/>
        <v>480628.46825707681</v>
      </c>
      <c r="K20" s="120">
        <f t="shared" si="2"/>
        <v>3.7421306291882226E+34</v>
      </c>
    </row>
    <row r="21" spans="1:11" s="121" customFormat="1" ht="15.75" customHeight="1" x14ac:dyDescent="0.2">
      <c r="A21" s="115">
        <v>17</v>
      </c>
      <c r="B21" s="116">
        <v>3.8500000000000002E+36</v>
      </c>
      <c r="C21" s="115">
        <v>1.204</v>
      </c>
      <c r="D21" s="115">
        <v>7670</v>
      </c>
      <c r="E21" s="115">
        <v>2.95479999999981</v>
      </c>
      <c r="F21" s="115">
        <v>1.0000000000000001E-5</v>
      </c>
      <c r="G21" s="117">
        <v>101340</v>
      </c>
      <c r="H21" s="135" t="s">
        <v>92</v>
      </c>
      <c r="I21" s="118">
        <f t="shared" si="1"/>
        <v>9232.2453967737893</v>
      </c>
      <c r="J21" s="119">
        <f t="shared" si="0"/>
        <v>454937.57034262834</v>
      </c>
      <c r="K21" s="120">
        <f t="shared" si="2"/>
        <v>3.6075928389475779E+34</v>
      </c>
    </row>
    <row r="22" spans="1:11" s="121" customFormat="1" ht="15.75" customHeight="1" x14ac:dyDescent="0.2">
      <c r="A22" s="115">
        <v>18</v>
      </c>
      <c r="B22" s="116">
        <v>3.9000000000000002E+36</v>
      </c>
      <c r="C22" s="115">
        <v>1.216</v>
      </c>
      <c r="D22" s="115">
        <v>7690</v>
      </c>
      <c r="E22" s="115">
        <v>2.9658999999998001</v>
      </c>
      <c r="F22" s="115">
        <v>1.0000000000000001E-5</v>
      </c>
      <c r="G22" s="117">
        <v>101360</v>
      </c>
      <c r="H22" s="135" t="s">
        <v>93</v>
      </c>
      <c r="I22" s="118">
        <f t="shared" si="1"/>
        <v>9249.2684212661952</v>
      </c>
      <c r="J22" s="119">
        <f t="shared" si="0"/>
        <v>430779.44846353366</v>
      </c>
      <c r="K22" s="120">
        <f t="shared" si="2"/>
        <v>3.4770739559715872E+34</v>
      </c>
    </row>
    <row r="23" spans="1:11" s="121" customFormat="1" ht="15.75" customHeight="1" x14ac:dyDescent="0.2">
      <c r="A23" s="115">
        <v>19</v>
      </c>
      <c r="B23" s="116">
        <v>3.9500000000000002E+36</v>
      </c>
      <c r="C23" s="115">
        <v>1.228</v>
      </c>
      <c r="D23" s="115">
        <v>7710</v>
      </c>
      <c r="E23" s="115">
        <v>2.9769999999997898</v>
      </c>
      <c r="F23" s="115">
        <v>1.0000000000000001E-5</v>
      </c>
      <c r="G23" s="117">
        <v>101380</v>
      </c>
      <c r="H23" s="135" t="s">
        <v>94</v>
      </c>
      <c r="I23" s="118">
        <f t="shared" si="1"/>
        <v>9266.3181267663822</v>
      </c>
      <c r="J23" s="119">
        <f t="shared" si="0"/>
        <v>408053.89602854248</v>
      </c>
      <c r="K23" s="120">
        <f t="shared" si="2"/>
        <v>3.35050349422198E+34</v>
      </c>
    </row>
    <row r="24" spans="1:11" s="121" customFormat="1" ht="15.75" customHeight="1" x14ac:dyDescent="0.2">
      <c r="A24" s="115">
        <v>20</v>
      </c>
      <c r="B24" s="116">
        <v>4.0000000000000002E+36</v>
      </c>
      <c r="C24" s="115">
        <v>1.24</v>
      </c>
      <c r="D24" s="115">
        <v>7730</v>
      </c>
      <c r="E24" s="115">
        <v>2.9880999999997799</v>
      </c>
      <c r="F24" s="115">
        <v>1.0000000000000001E-5</v>
      </c>
      <c r="G24" s="117">
        <v>101400</v>
      </c>
      <c r="H24" s="135" t="s">
        <v>95</v>
      </c>
      <c r="I24" s="118">
        <f t="shared" si="1"/>
        <v>9283.3941561835709</v>
      </c>
      <c r="J24" s="119">
        <f t="shared" si="0"/>
        <v>386667.78853374068</v>
      </c>
      <c r="K24" s="120">
        <f t="shared" si="2"/>
        <v>3.2278086727703439E+34</v>
      </c>
    </row>
    <row r="25" spans="1:11" s="121" customFormat="1" ht="15.75" customHeight="1" x14ac:dyDescent="0.2">
      <c r="A25" s="115">
        <v>21</v>
      </c>
      <c r="B25" s="116">
        <v>4.0500000000000001E+36</v>
      </c>
      <c r="C25" s="115">
        <v>1.252</v>
      </c>
      <c r="D25" s="115">
        <v>7750</v>
      </c>
      <c r="E25" s="115">
        <v>2.99919999999977</v>
      </c>
      <c r="F25" s="115">
        <v>1.0000000000000001E-5</v>
      </c>
      <c r="G25" s="117">
        <v>101420</v>
      </c>
      <c r="H25" s="135" t="s">
        <v>96</v>
      </c>
      <c r="I25" s="118">
        <f t="shared" si="1"/>
        <v>9300.4961587709495</v>
      </c>
      <c r="J25" s="119">
        <f t="shared" si="0"/>
        <v>366534.54823742952</v>
      </c>
      <c r="K25" s="120">
        <f t="shared" si="2"/>
        <v>3.1089147657635384E+34</v>
      </c>
    </row>
    <row r="26" spans="1:11" s="121" customFormat="1" ht="15.75" customHeight="1" x14ac:dyDescent="0.2">
      <c r="A26" s="115">
        <v>22</v>
      </c>
      <c r="B26" s="116">
        <v>4.1000000000000001E+36</v>
      </c>
      <c r="C26" s="115">
        <v>1.264</v>
      </c>
      <c r="D26" s="115">
        <v>7770</v>
      </c>
      <c r="E26" s="115">
        <v>3.0102999999997602</v>
      </c>
      <c r="F26" s="115">
        <v>1.0000000000000001E-5</v>
      </c>
      <c r="G26" s="117">
        <v>101440</v>
      </c>
      <c r="H26" s="135" t="s">
        <v>97</v>
      </c>
      <c r="I26" s="118">
        <f t="shared" si="1"/>
        <v>9317.6237899854077</v>
      </c>
      <c r="J26" s="119">
        <f t="shared" si="0"/>
        <v>347573.65171968896</v>
      </c>
      <c r="K26" s="120">
        <f t="shared" si="2"/>
        <v>2.9937454266702035E+34</v>
      </c>
    </row>
    <row r="27" spans="1:11" s="121" customFormat="1" ht="15.75" customHeight="1" x14ac:dyDescent="0.2">
      <c r="A27" s="115">
        <v>23</v>
      </c>
      <c r="B27" s="116">
        <v>4.1500000000000001E+36</v>
      </c>
      <c r="C27" s="115">
        <v>1.276</v>
      </c>
      <c r="D27" s="115">
        <v>7790</v>
      </c>
      <c r="E27" s="115">
        <v>3.0213999999997498</v>
      </c>
      <c r="F27" s="115">
        <v>1.0000000000000001E-5</v>
      </c>
      <c r="G27" s="117">
        <v>101460</v>
      </c>
      <c r="H27" s="129"/>
      <c r="I27" s="118">
        <f t="shared" si="1"/>
        <v>9334.7767113509908</v>
      </c>
      <c r="J27" s="119">
        <f t="shared" si="0"/>
        <v>329710.17671605176</v>
      </c>
      <c r="K27" s="120">
        <f t="shared" si="2"/>
        <v>2.8822229883124427E+34</v>
      </c>
    </row>
    <row r="28" spans="1:11" s="121" customFormat="1" ht="15.75" customHeight="1" x14ac:dyDescent="0.2">
      <c r="A28" s="115">
        <v>24</v>
      </c>
      <c r="B28" s="116">
        <v>4.2000000000000001E+36</v>
      </c>
      <c r="C28" s="115">
        <v>1.288</v>
      </c>
      <c r="D28" s="115">
        <v>7810</v>
      </c>
      <c r="E28" s="115">
        <v>3.03249999999974</v>
      </c>
      <c r="F28" s="115">
        <v>1.0000000000000001E-5</v>
      </c>
      <c r="G28" s="117">
        <v>101480</v>
      </c>
      <c r="H28" s="129"/>
      <c r="I28" s="118">
        <f t="shared" si="1"/>
        <v>9351.9545903259241</v>
      </c>
      <c r="J28" s="119">
        <f t="shared" si="0"/>
        <v>312874.38493150059</v>
      </c>
      <c r="K28" s="120">
        <f t="shared" si="2"/>
        <v>2.7742687401091655E+34</v>
      </c>
    </row>
    <row r="29" spans="1:11" s="121" customFormat="1" ht="15.75" customHeight="1" x14ac:dyDescent="0.2">
      <c r="A29" s="115">
        <v>25</v>
      </c>
      <c r="B29" s="116">
        <v>4.2500000000000001E+36</v>
      </c>
      <c r="C29" s="115">
        <v>1.3</v>
      </c>
      <c r="D29" s="115">
        <v>7830</v>
      </c>
      <c r="E29" s="115">
        <v>3.0435999999997301</v>
      </c>
      <c r="F29" s="115">
        <v>1.0000000000000001E-5</v>
      </c>
      <c r="G29" s="117">
        <v>101500</v>
      </c>
      <c r="H29" s="129"/>
      <c r="I29" s="118">
        <f t="shared" si="1"/>
        <v>9369.1571001731463</v>
      </c>
      <c r="J29" s="119">
        <f t="shared" si="0"/>
        <v>297001.33782913344</v>
      </c>
      <c r="K29" s="120">
        <f t="shared" si="2"/>
        <v>2.6698031838847231E+34</v>
      </c>
    </row>
    <row r="30" spans="1:11" ht="15.75" customHeight="1" x14ac:dyDescent="0.2">
      <c r="A30" s="115">
        <v>26</v>
      </c>
      <c r="B30" s="116">
        <v>4.3E+36</v>
      </c>
      <c r="C30" s="115">
        <v>1.3120000000000001</v>
      </c>
      <c r="D30" s="115">
        <v>7850</v>
      </c>
      <c r="E30" s="115">
        <v>3.0546999999997202</v>
      </c>
      <c r="F30" s="115">
        <v>1.0000000000000001E-5</v>
      </c>
      <c r="G30" s="117">
        <v>101520</v>
      </c>
      <c r="H30" s="129"/>
      <c r="I30" s="118">
        <f t="shared" si="1"/>
        <v>9386.3839198341993</v>
      </c>
      <c r="J30" s="119">
        <f t="shared" si="0"/>
        <v>282030.54264985252</v>
      </c>
      <c r="K30" s="120">
        <f t="shared" si="2"/>
        <v>2.5687462695259001E+34</v>
      </c>
    </row>
    <row r="31" spans="1:11" ht="15.75" customHeight="1" x14ac:dyDescent="0.2">
      <c r="A31" s="115">
        <v>27</v>
      </c>
      <c r="B31" s="116">
        <v>4.35E+36</v>
      </c>
      <c r="C31" s="115">
        <v>1.3240000000000001</v>
      </c>
      <c r="D31" s="115">
        <v>7870</v>
      </c>
      <c r="E31" s="115">
        <v>3.0657999999997099</v>
      </c>
      <c r="F31" s="115">
        <v>1.0000000000000001E-5</v>
      </c>
      <c r="G31" s="117">
        <v>101540</v>
      </c>
      <c r="H31" s="129"/>
      <c r="I31" s="118">
        <f t="shared" si="1"/>
        <v>9403.6347338063933</v>
      </c>
      <c r="J31" s="119">
        <f t="shared" si="0"/>
        <v>267905.62615790428</v>
      </c>
      <c r="K31" s="120">
        <f t="shared" si="2"/>
        <v>2.4710176117042671E+34</v>
      </c>
    </row>
    <row r="32" spans="1:11" ht="15.75" customHeight="1" x14ac:dyDescent="0.2">
      <c r="A32" s="115">
        <v>28</v>
      </c>
      <c r="B32" s="116">
        <v>4.4E+36</v>
      </c>
      <c r="C32" s="115">
        <v>1.3360000000000001</v>
      </c>
      <c r="D32" s="115">
        <v>7890</v>
      </c>
      <c r="E32" s="115">
        <v>3.0768999999997</v>
      </c>
      <c r="F32" s="115">
        <v>1.0000000000000001E-5</v>
      </c>
      <c r="G32" s="117">
        <v>101560</v>
      </c>
      <c r="H32" s="129"/>
      <c r="I32" s="118">
        <f t="shared" si="1"/>
        <v>9420.9092320231521</v>
      </c>
      <c r="J32" s="119">
        <f t="shared" si="0"/>
        <v>254574.03382403826</v>
      </c>
      <c r="K32" s="120">
        <f t="shared" si="2"/>
        <v>2.3765366888167181E+34</v>
      </c>
    </row>
    <row r="33" spans="1:11" ht="15.75" customHeight="1" x14ac:dyDescent="0.2">
      <c r="A33" s="115">
        <v>29</v>
      </c>
      <c r="B33" s="116">
        <v>4.45E+36</v>
      </c>
      <c r="C33" s="115">
        <v>1.3480000000000001</v>
      </c>
      <c r="D33" s="115">
        <v>7910</v>
      </c>
      <c r="E33" s="115">
        <v>3.0879999999996901</v>
      </c>
      <c r="F33" s="115">
        <v>1.0000000000000001E-5</v>
      </c>
      <c r="G33" s="117">
        <v>101580</v>
      </c>
      <c r="H33" s="129"/>
      <c r="I33" s="118">
        <f t="shared" si="1"/>
        <v>9438.2071097374319</v>
      </c>
      <c r="J33" s="119">
        <f t="shared" si="0"/>
        <v>241986.7523555253</v>
      </c>
      <c r="K33" s="120">
        <f t="shared" si="2"/>
        <v>2.285223025237058E+34</v>
      </c>
    </row>
    <row r="34" spans="1:11" ht="15.75" customHeight="1" x14ac:dyDescent="0.2">
      <c r="A34" s="115">
        <v>30</v>
      </c>
      <c r="B34" s="116">
        <v>4.5E+36</v>
      </c>
      <c r="C34" s="115">
        <v>1.36</v>
      </c>
      <c r="D34" s="115">
        <v>7930</v>
      </c>
      <c r="E34" s="115">
        <v>3.0990999999996802</v>
      </c>
      <c r="F34" s="115">
        <v>1.0000000000000001E-5</v>
      </c>
      <c r="G34" s="117">
        <v>101600</v>
      </c>
      <c r="H34" s="129"/>
      <c r="I34" s="118">
        <f t="shared" si="1"/>
        <v>9455.5280674081368</v>
      </c>
      <c r="J34" s="119">
        <f t="shared" si="0"/>
        <v>230098.05366210948</v>
      </c>
      <c r="K34" s="120">
        <f t="shared" si="2"/>
        <v>2.1969963579132892E+34</v>
      </c>
    </row>
    <row r="35" spans="1:11" ht="15.75" customHeight="1" x14ac:dyDescent="0.2">
      <c r="A35" s="115">
        <v>31</v>
      </c>
      <c r="B35" s="116">
        <v>4.5499999999999999E+36</v>
      </c>
      <c r="C35" s="115">
        <v>1.3720000000000001</v>
      </c>
      <c r="D35" s="115">
        <v>7950</v>
      </c>
      <c r="E35" s="115">
        <v>3.1101999999996699</v>
      </c>
      <c r="F35" s="115">
        <v>1.0000000000000001E-5</v>
      </c>
      <c r="G35" s="117">
        <v>101620</v>
      </c>
      <c r="H35" s="129"/>
      <c r="I35" s="118">
        <f t="shared" si="1"/>
        <v>9472.8718105894204</v>
      </c>
      <c r="J35" s="119">
        <f t="shared" si="0"/>
        <v>218865.25851068742</v>
      </c>
      <c r="K35" s="120">
        <f t="shared" si="2"/>
        <v>2.1117767882907691E+34</v>
      </c>
    </row>
    <row r="36" spans="1:11" ht="15.75" customHeight="1" x14ac:dyDescent="0.2">
      <c r="A36" s="115">
        <v>32</v>
      </c>
      <c r="B36" s="116">
        <v>4.5999999999999999E+36</v>
      </c>
      <c r="C36" s="115">
        <v>1.3839999999999999</v>
      </c>
      <c r="D36" s="115">
        <v>7970</v>
      </c>
      <c r="E36" s="115">
        <v>3.12129999999966</v>
      </c>
      <c r="F36" s="115">
        <v>1.0000000000000001E-5</v>
      </c>
      <c r="G36" s="117">
        <v>101640</v>
      </c>
      <c r="H36" s="129"/>
      <c r="I36" s="118">
        <f t="shared" si="1"/>
        <v>9490.2380498228049</v>
      </c>
      <c r="J36" s="119">
        <f t="shared" si="0"/>
        <v>208248.51827068924</v>
      </c>
      <c r="K36" s="120">
        <f t="shared" si="2"/>
        <v>2.0294849204887115E+34</v>
      </c>
    </row>
    <row r="37" spans="1:11" ht="15.75" customHeight="1" x14ac:dyDescent="0.2">
      <c r="A37" s="115">
        <v>33</v>
      </c>
      <c r="B37" s="116">
        <v>4.6499999999999999E+36</v>
      </c>
      <c r="C37" s="115">
        <v>1.3959999999999999</v>
      </c>
      <c r="D37" s="115">
        <v>7990</v>
      </c>
      <c r="E37" s="115">
        <v>3.1323999999996501</v>
      </c>
      <c r="F37" s="115">
        <v>1.0000000000000001E-5</v>
      </c>
      <c r="G37" s="117">
        <v>101660</v>
      </c>
      <c r="H37" s="129"/>
      <c r="I37" s="118">
        <f t="shared" si="1"/>
        <v>9507.6265005320365</v>
      </c>
      <c r="J37" s="119">
        <f t="shared" si="0"/>
        <v>198210.61328806687</v>
      </c>
      <c r="K37" s="120">
        <f t="shared" si="2"/>
        <v>1.9500419866080046E+34</v>
      </c>
    </row>
    <row r="38" spans="1:11" ht="15.75" customHeight="1" x14ac:dyDescent="0.2">
      <c r="A38" s="115">
        <v>34</v>
      </c>
      <c r="B38" s="116">
        <v>4.6999999999999999E+36</v>
      </c>
      <c r="C38" s="115">
        <v>1.4079999999999999</v>
      </c>
      <c r="D38" s="115">
        <v>8010</v>
      </c>
      <c r="E38" s="115">
        <v>3.1434999999996398</v>
      </c>
      <c r="F38" s="115">
        <v>1.0000000000000001E-5</v>
      </c>
      <c r="G38" s="117">
        <v>101680</v>
      </c>
      <c r="H38" s="129"/>
      <c r="I38" s="118">
        <f t="shared" si="1"/>
        <v>9525.0368829205781</v>
      </c>
      <c r="J38" s="119">
        <f t="shared" si="0"/>
        <v>188716.76654967258</v>
      </c>
      <c r="K38" s="120">
        <f t="shared" si="2"/>
        <v>1.8733699600006368E+34</v>
      </c>
    </row>
    <row r="39" spans="1:11" ht="15.75" customHeight="1" x14ac:dyDescent="0.2">
      <c r="A39" s="115">
        <v>35</v>
      </c>
      <c r="B39" s="116">
        <v>4.7499999999999999E+36</v>
      </c>
      <c r="C39" s="115">
        <v>1.42</v>
      </c>
      <c r="D39" s="115">
        <v>8030</v>
      </c>
      <c r="E39" s="115">
        <v>3.1545999999996299</v>
      </c>
      <c r="F39" s="115">
        <v>1.0000000000000001E-5</v>
      </c>
      <c r="G39" s="117">
        <v>101700</v>
      </c>
      <c r="H39" s="129"/>
      <c r="I39" s="118">
        <f t="shared" si="1"/>
        <v>9542.4689218716794</v>
      </c>
      <c r="J39" s="119">
        <f t="shared" si="0"/>
        <v>179734.47141279813</v>
      </c>
      <c r="K39" s="120">
        <f t="shared" si="2"/>
        <v>1.7993916572860632E+34</v>
      </c>
    </row>
    <row r="40" spans="1:11" ht="15.75" customHeight="1" x14ac:dyDescent="0.2">
      <c r="A40" s="115">
        <v>36</v>
      </c>
      <c r="B40" s="116">
        <v>4.7999999999999998E+36</v>
      </c>
      <c r="C40" s="115">
        <v>1.4319999999999999</v>
      </c>
      <c r="D40" s="115">
        <v>8050</v>
      </c>
      <c r="E40" s="115">
        <v>3.16569999999962</v>
      </c>
      <c r="F40" s="115">
        <v>1.0000000000000001E-5</v>
      </c>
      <c r="G40" s="117">
        <v>101720</v>
      </c>
      <c r="H40" s="129"/>
      <c r="I40" s="118">
        <f t="shared" si="1"/>
        <v>9559.9223468509499</v>
      </c>
      <c r="J40" s="119">
        <f t="shared" si="0"/>
        <v>171233.33227765799</v>
      </c>
      <c r="K40" s="120">
        <f t="shared" si="2"/>
        <v>1.7280308298568448E+34</v>
      </c>
    </row>
    <row r="41" spans="1:11" ht="15.75" customHeight="1" x14ac:dyDescent="0.2">
      <c r="A41" s="115">
        <v>37</v>
      </c>
      <c r="B41" s="116">
        <v>4.8499999999999998E+36</v>
      </c>
      <c r="C41" s="115">
        <v>1.444</v>
      </c>
      <c r="D41" s="115">
        <v>8070</v>
      </c>
      <c r="E41" s="115">
        <v>3.1767999999996102</v>
      </c>
      <c r="F41" s="115">
        <v>1.0000000000000001E-5</v>
      </c>
      <c r="G41" s="117">
        <v>101740</v>
      </c>
      <c r="H41" s="129"/>
      <c r="I41" s="118">
        <f t="shared" si="1"/>
        <v>9577.3968918113369</v>
      </c>
      <c r="J41" s="119">
        <f t="shared" si="0"/>
        <v>163184.9171746046</v>
      </c>
      <c r="K41" s="120">
        <f t="shared" si="2"/>
        <v>1.6592122455749619E+34</v>
      </c>
    </row>
    <row r="42" spans="1:11" ht="15.75" customHeight="1" x14ac:dyDescent="0.2">
      <c r="A42" s="115">
        <v>38</v>
      </c>
      <c r="B42" s="116">
        <v>4.8999999999999998E+36</v>
      </c>
      <c r="C42" s="115">
        <v>1.456</v>
      </c>
      <c r="D42" s="115">
        <v>8090</v>
      </c>
      <c r="E42" s="115">
        <v>3.1878999999995998</v>
      </c>
      <c r="F42" s="115">
        <v>1.0000000000000001E-5</v>
      </c>
      <c r="G42" s="117">
        <v>101760</v>
      </c>
      <c r="H42" s="129"/>
      <c r="I42" s="118">
        <f t="shared" si="1"/>
        <v>9594.8922951004879</v>
      </c>
      <c r="J42" s="119">
        <f t="shared" si="0"/>
        <v>155562.62132365658</v>
      </c>
      <c r="K42" s="120">
        <f t="shared" si="2"/>
        <v>1.5928617613214849E+34</v>
      </c>
    </row>
    <row r="43" spans="1:11" ht="15.75" customHeight="1" x14ac:dyDescent="0.2">
      <c r="A43" s="115">
        <v>39</v>
      </c>
      <c r="B43" s="116">
        <v>4.9499999999999998E+36</v>
      </c>
      <c r="C43" s="115">
        <v>1.468</v>
      </c>
      <c r="D43" s="115">
        <v>8110</v>
      </c>
      <c r="E43" s="115">
        <v>3.1989999999995899</v>
      </c>
      <c r="F43" s="115">
        <v>1.0000000000000001E-5</v>
      </c>
      <c r="G43" s="117">
        <v>101780</v>
      </c>
      <c r="H43" s="129"/>
      <c r="I43" s="118">
        <f t="shared" si="1"/>
        <v>9612.4082993703651</v>
      </c>
      <c r="J43" s="119">
        <f t="shared" si="0"/>
        <v>148341.54080223764</v>
      </c>
      <c r="K43" s="120">
        <f t="shared" si="2"/>
        <v>1.5289063870251704E+34</v>
      </c>
    </row>
    <row r="44" spans="1:11" ht="15.75" customHeight="1" x14ac:dyDescent="0.2">
      <c r="A44" s="115">
        <v>40</v>
      </c>
      <c r="B44" s="116">
        <v>4.9999999999999998E+36</v>
      </c>
      <c r="C44" s="115">
        <v>1.48</v>
      </c>
      <c r="D44" s="115">
        <v>8130</v>
      </c>
      <c r="E44" s="115">
        <v>3.2100999999995801</v>
      </c>
      <c r="F44" s="115">
        <v>1.0000000000000001E-5</v>
      </c>
      <c r="G44" s="117">
        <v>101800</v>
      </c>
      <c r="H44" s="129"/>
      <c r="I44" s="118">
        <f t="shared" si="1"/>
        <v>9629.9446514891079</v>
      </c>
      <c r="J44" s="119">
        <f t="shared" si="0"/>
        <v>141498.35552854059</v>
      </c>
      <c r="K44" s="120">
        <f t="shared" si="2"/>
        <v>1.4672743417605269E+34</v>
      </c>
    </row>
    <row r="45" spans="1:11" ht="15.75" customHeight="1" x14ac:dyDescent="0.2">
      <c r="A45" s="115">
        <v>41</v>
      </c>
      <c r="B45" s="116">
        <v>5.0499999999999997E+36</v>
      </c>
      <c r="C45" s="115">
        <v>1.492</v>
      </c>
      <c r="D45" s="115">
        <v>8150</v>
      </c>
      <c r="E45" s="115">
        <v>3.22119999999958</v>
      </c>
      <c r="F45" s="115">
        <v>1.0000000000000001E-5</v>
      </c>
      <c r="G45" s="117">
        <v>101820</v>
      </c>
      <c r="H45" s="129"/>
      <c r="I45" s="118">
        <f t="shared" si="1"/>
        <v>9647.5011024550295</v>
      </c>
      <c r="J45" s="119">
        <f t="shared" si="0"/>
        <v>135011.22083328353</v>
      </c>
      <c r="K45" s="120">
        <f t="shared" si="2"/>
        <v>1.4078951024724162E+34</v>
      </c>
    </row>
    <row r="46" spans="1:11" ht="15.75" customHeight="1" x14ac:dyDescent="0.2">
      <c r="A46" s="115">
        <v>42</v>
      </c>
      <c r="B46" s="116">
        <v>5.0999999999999997E+36</v>
      </c>
      <c r="C46" s="115">
        <v>1.504</v>
      </c>
      <c r="D46" s="115">
        <v>8170</v>
      </c>
      <c r="E46" s="115">
        <v>3.2322999999995599</v>
      </c>
      <c r="F46" s="115">
        <v>1.0000000000000001E-5</v>
      </c>
      <c r="G46" s="117">
        <v>101840</v>
      </c>
      <c r="H46" s="129"/>
      <c r="I46" s="118">
        <f t="shared" si="1"/>
        <v>9665.0774073127614</v>
      </c>
      <c r="J46" s="119">
        <f t="shared" si="0"/>
        <v>128859.66695235857</v>
      </c>
      <c r="K46" s="120">
        <f t="shared" si="2"/>
        <v>1.3506994458527189E+34</v>
      </c>
    </row>
    <row r="47" spans="1:11" ht="15.75" customHeight="1" x14ac:dyDescent="0.2">
      <c r="A47" s="115">
        <v>43</v>
      </c>
      <c r="B47" s="116">
        <v>5.1499999999999997E+36</v>
      </c>
      <c r="C47" s="115">
        <v>1.516</v>
      </c>
      <c r="D47" s="115">
        <v>8190</v>
      </c>
      <c r="E47" s="115">
        <v>3.24339999999955</v>
      </c>
      <c r="F47" s="115">
        <v>1.0000000000000001E-5</v>
      </c>
      <c r="G47" s="117">
        <v>101860</v>
      </c>
      <c r="H47" s="130"/>
      <c r="I47" s="118">
        <f t="shared" si="1"/>
        <v>9682.6733250713241</v>
      </c>
      <c r="J47" s="119">
        <f t="shared" si="0"/>
        <v>123024.5058273327</v>
      </c>
      <c r="K47" s="120">
        <f t="shared" si="2"/>
        <v>1.2956194838637687E+34</v>
      </c>
    </row>
    <row r="48" spans="1:11" ht="15.75" customHeight="1" x14ac:dyDescent="0.2">
      <c r="A48" s="115">
        <v>44</v>
      </c>
      <c r="B48" s="116">
        <v>5.2000000000000003E+36</v>
      </c>
      <c r="C48" s="115">
        <v>1.528</v>
      </c>
      <c r="D48" s="115">
        <v>8210</v>
      </c>
      <c r="E48" s="115">
        <v>3.2544999999995401</v>
      </c>
      <c r="F48" s="115">
        <v>1.0000000000000001E-5</v>
      </c>
      <c r="G48" s="117">
        <v>101880</v>
      </c>
      <c r="H48" s="132"/>
      <c r="I48" s="118">
        <f t="shared" si="1"/>
        <v>9700.2886186243177</v>
      </c>
      <c r="J48" s="119">
        <f t="shared" si="0"/>
        <v>117487.74465096474</v>
      </c>
      <c r="K48" s="120">
        <f t="shared" si="2"/>
        <v>1.2425886933759977E+34</v>
      </c>
    </row>
    <row r="49" spans="1:11" ht="15.75" customHeight="1" x14ac:dyDescent="0.2">
      <c r="A49" s="115">
        <v>45</v>
      </c>
      <c r="B49" s="116">
        <v>5.2500000000000003E+36</v>
      </c>
      <c r="C49" s="115">
        <v>1.54</v>
      </c>
      <c r="D49" s="115">
        <v>8230</v>
      </c>
      <c r="E49" s="115">
        <v>3.26559999999954</v>
      </c>
      <c r="F49" s="115">
        <v>1.0000000000000001E-5</v>
      </c>
      <c r="G49" s="117">
        <v>101900</v>
      </c>
      <c r="H49" s="132"/>
      <c r="I49" s="118">
        <f t="shared" si="1"/>
        <v>9717.9230546719282</v>
      </c>
      <c r="J49" s="119">
        <f t="shared" si="0"/>
        <v>112232.50564019264</v>
      </c>
      <c r="K49" s="120">
        <f t="shared" si="2"/>
        <v>1.1915419403582756E+34</v>
      </c>
    </row>
    <row r="50" spans="1:11" ht="15.75" customHeight="1" x14ac:dyDescent="0.2">
      <c r="A50" s="115">
        <v>46</v>
      </c>
      <c r="B50" s="116">
        <v>5.3000000000000002E+36</v>
      </c>
      <c r="C50" s="115">
        <v>1.552</v>
      </c>
      <c r="D50" s="115">
        <v>8250</v>
      </c>
      <c r="E50" s="115">
        <v>3.2766999999995199</v>
      </c>
      <c r="F50" s="115">
        <v>1.0000000000000001E-5</v>
      </c>
      <c r="G50" s="117">
        <v>101920</v>
      </c>
      <c r="H50" s="132"/>
      <c r="I50" s="118">
        <f t="shared" si="1"/>
        <v>9735.5764036448709</v>
      </c>
      <c r="J50" s="119">
        <f t="shared" si="0"/>
        <v>107242.95156117335</v>
      </c>
      <c r="K50" s="120">
        <f t="shared" si="2"/>
        <v>1.1424154990351813E+34</v>
      </c>
    </row>
    <row r="51" spans="1:11" ht="15.75" customHeight="1" x14ac:dyDescent="0.2">
      <c r="A51" s="115">
        <v>47</v>
      </c>
      <c r="B51" s="116">
        <v>5.3500000000000002E+36</v>
      </c>
      <c r="C51" s="115">
        <v>1.5640000000000001</v>
      </c>
      <c r="D51" s="115">
        <v>8270</v>
      </c>
      <c r="E51" s="115">
        <v>3.28779999999951</v>
      </c>
      <c r="F51" s="115">
        <v>1.0000000000000001E-5</v>
      </c>
      <c r="G51" s="117">
        <v>101940</v>
      </c>
      <c r="H51" s="132"/>
      <c r="I51" s="118">
        <f t="shared" si="1"/>
        <v>9753.248439630077</v>
      </c>
      <c r="J51" s="119">
        <f t="shared" si="0"/>
        <v>102504.2165689362</v>
      </c>
      <c r="K51" s="120">
        <f t="shared" si="2"/>
        <v>1.0951470663996597E+34</v>
      </c>
    </row>
    <row r="52" spans="1:11" ht="15.75" customHeight="1" x14ac:dyDescent="0.2">
      <c r="A52" s="115">
        <v>48</v>
      </c>
      <c r="B52" s="116">
        <v>5.4000000000000002E+36</v>
      </c>
      <c r="C52" s="115">
        <v>1.5760000000000001</v>
      </c>
      <c r="D52" s="115">
        <v>8290</v>
      </c>
      <c r="E52" s="115">
        <v>3.2988999999995099</v>
      </c>
      <c r="F52" s="115">
        <v>1.0000000000000001E-5</v>
      </c>
      <c r="G52" s="117">
        <v>101960</v>
      </c>
      <c r="H52" s="132"/>
      <c r="I52" s="118">
        <f t="shared" si="1"/>
        <v>9770.9389402982342</v>
      </c>
      <c r="J52" s="119">
        <f t="shared" si="0"/>
        <v>98002.341959530153</v>
      </c>
      <c r="K52" s="120">
        <f t="shared" si="2"/>
        <v>1.0496757724476621E+34</v>
      </c>
    </row>
    <row r="53" spans="1:11" ht="15.75" customHeight="1" x14ac:dyDescent="0.2">
      <c r="A53" s="115">
        <v>49</v>
      </c>
      <c r="B53" s="116">
        <v>5.4500000000000002E+36</v>
      </c>
      <c r="C53" s="115">
        <v>1.5880000000000001</v>
      </c>
      <c r="D53" s="115">
        <v>8310</v>
      </c>
      <c r="E53" s="115">
        <v>3.3099999999995</v>
      </c>
      <c r="F53" s="115">
        <v>1.0000000000000001E-5</v>
      </c>
      <c r="G53" s="117">
        <v>101980</v>
      </c>
      <c r="H53" s="132"/>
      <c r="I53" s="118">
        <f t="shared" si="1"/>
        <v>9788.6476868330028</v>
      </c>
      <c r="J53" s="119">
        <f t="shared" si="0"/>
        <v>93724.216464348166</v>
      </c>
      <c r="K53" s="120">
        <f t="shared" si="2"/>
        <v>1.0059421864778877E+34</v>
      </c>
    </row>
    <row r="54" spans="1:11" ht="15.75" customHeight="1" x14ac:dyDescent="0.2">
      <c r="A54" s="115">
        <v>50</v>
      </c>
      <c r="B54" s="116">
        <v>5.5000000000000002E+36</v>
      </c>
      <c r="C54" s="115">
        <v>1.6</v>
      </c>
      <c r="D54" s="115">
        <v>8330</v>
      </c>
      <c r="E54" s="115">
        <v>3.3210999999994901</v>
      </c>
      <c r="F54" s="115">
        <v>1.0000000000000001E-5</v>
      </c>
      <c r="G54" s="117">
        <v>102000</v>
      </c>
      <c r="H54" s="132"/>
      <c r="I54" s="118">
        <f t="shared" si="1"/>
        <v>9806.3744638618809</v>
      </c>
      <c r="J54" s="119">
        <f t="shared" si="0"/>
        <v>89657.520745898379</v>
      </c>
      <c r="K54" s="120">
        <f t="shared" si="2"/>
        <v>9.6388831977970659E+33</v>
      </c>
    </row>
    <row r="55" spans="1:11" ht="15.75" customHeight="1" x14ac:dyDescent="0.2">
      <c r="A55" s="115">
        <v>51</v>
      </c>
      <c r="B55" s="116">
        <v>5.5500000000000001E+36</v>
      </c>
      <c r="C55" s="115">
        <v>1.6120000000000001</v>
      </c>
      <c r="D55" s="115">
        <v>8350</v>
      </c>
      <c r="E55" s="115">
        <v>3.3321999999994798</v>
      </c>
      <c r="F55" s="115">
        <v>1.0000000000000001E-5</v>
      </c>
      <c r="G55" s="117">
        <v>102020</v>
      </c>
      <c r="H55" s="132"/>
      <c r="I55" s="118">
        <f t="shared" si="1"/>
        <v>9824.1190593887313</v>
      </c>
      <c r="J55" s="119">
        <f t="shared" si="0"/>
        <v>85790.675781244528</v>
      </c>
      <c r="K55" s="120">
        <f t="shared" si="2"/>
        <v>9.2345762501257432E+33</v>
      </c>
    </row>
    <row r="56" spans="1:11" ht="15.75" customHeight="1" x14ac:dyDescent="0.2">
      <c r="A56" s="115">
        <v>52</v>
      </c>
      <c r="B56" s="116">
        <v>5.6000000000000001E+36</v>
      </c>
      <c r="C56" s="115">
        <v>1.6240000000000001</v>
      </c>
      <c r="D56" s="115">
        <v>8370</v>
      </c>
      <c r="E56" s="115">
        <v>3.3432999999994699</v>
      </c>
      <c r="F56" s="115">
        <v>1.0000000000000001E-5</v>
      </c>
      <c r="G56" s="117">
        <v>102040</v>
      </c>
      <c r="H56" s="132"/>
      <c r="I56" s="118">
        <f t="shared" si="1"/>
        <v>9841.8812647278792</v>
      </c>
      <c r="J56" s="119">
        <f t="shared" si="0"/>
        <v>82112.794843979122</v>
      </c>
      <c r="K56" s="120">
        <f t="shared" si="2"/>
        <v>8.845949925609696E+33</v>
      </c>
    </row>
    <row r="57" spans="1:11" ht="15.75" customHeight="1" x14ac:dyDescent="0.2">
      <c r="A57" s="115">
        <v>53</v>
      </c>
      <c r="B57" s="116">
        <v>5.6500000000000001E+36</v>
      </c>
      <c r="C57" s="115">
        <v>1.6359999999999999</v>
      </c>
      <c r="D57" s="115">
        <v>8390</v>
      </c>
      <c r="E57" s="115">
        <v>3.35439999999946</v>
      </c>
      <c r="F57" s="115">
        <v>1.0000000000000001E-5</v>
      </c>
      <c r="G57" s="117">
        <v>102060</v>
      </c>
      <c r="H57" s="132"/>
      <c r="I57" s="118">
        <f t="shared" si="1"/>
        <v>9859.6608744397399</v>
      </c>
      <c r="J57" s="119">
        <f t="shared" si="0"/>
        <v>78613.638818345324</v>
      </c>
      <c r="K57" s="120">
        <f t="shared" si="2"/>
        <v>8.4724674413149864E+33</v>
      </c>
    </row>
    <row r="58" spans="1:11" ht="15.75" customHeight="1" x14ac:dyDescent="0.2">
      <c r="A58" s="115">
        <v>54</v>
      </c>
      <c r="B58" s="116">
        <v>5.7000000000000001E+36</v>
      </c>
      <c r="C58" s="115">
        <v>1.6479999999999999</v>
      </c>
      <c r="D58" s="115">
        <v>8410</v>
      </c>
      <c r="E58" s="115">
        <v>3.3654999999994502</v>
      </c>
      <c r="F58" s="115">
        <v>1.0000000000000001E-5</v>
      </c>
      <c r="G58" s="117">
        <v>102080</v>
      </c>
      <c r="H58" s="132"/>
      <c r="I58" s="118">
        <f t="shared" si="1"/>
        <v>9877.4576862679478</v>
      </c>
      <c r="J58" s="119">
        <f t="shared" si="0"/>
        <v>75283.574599900792</v>
      </c>
      <c r="K58" s="120">
        <f t="shared" si="2"/>
        <v>8.1136062384185974E+33</v>
      </c>
    </row>
    <row r="59" spans="1:11" ht="15.75" customHeight="1" x14ac:dyDescent="0.2">
      <c r="A59" s="115">
        <v>55</v>
      </c>
      <c r="B59" s="116">
        <v>5.7500000000000001E+36</v>
      </c>
      <c r="C59" s="115">
        <v>1.66</v>
      </c>
      <c r="D59" s="115">
        <v>8430</v>
      </c>
      <c r="E59" s="115">
        <v>3.3765999999994398</v>
      </c>
      <c r="F59" s="115">
        <v>1.0000000000000001E-5</v>
      </c>
      <c r="G59" s="117">
        <v>102100</v>
      </c>
      <c r="H59" s="132"/>
      <c r="I59" s="118">
        <f t="shared" si="1"/>
        <v>9895.2715010779466</v>
      </c>
      <c r="J59" s="119">
        <f t="shared" si="0"/>
        <v>72113.536356244091</v>
      </c>
      <c r="K59" s="120">
        <f t="shared" si="2"/>
        <v>7.768857870353954E+33</v>
      </c>
    </row>
    <row r="60" spans="1:11" ht="15.75" customHeight="1" x14ac:dyDescent="0.2">
      <c r="A60" s="115">
        <v>56</v>
      </c>
      <c r="B60" s="116">
        <v>5.8E+36</v>
      </c>
      <c r="C60" s="115">
        <v>1.6719999999999999</v>
      </c>
      <c r="D60" s="115">
        <v>8450</v>
      </c>
      <c r="E60" s="115">
        <v>3.3876999999994299</v>
      </c>
      <c r="F60" s="115">
        <v>1.0000000000000001E-5</v>
      </c>
      <c r="G60" s="117">
        <v>102120</v>
      </c>
      <c r="H60" s="132"/>
      <c r="I60" s="118">
        <f t="shared" si="1"/>
        <v>9913.1021227969777</v>
      </c>
      <c r="J60" s="119">
        <f t="shared" si="0"/>
        <v>69094.989438853212</v>
      </c>
      <c r="K60" s="120">
        <f t="shared" si="2"/>
        <v>7.4377278703993999E+33</v>
      </c>
    </row>
    <row r="61" spans="1:11" ht="15.75" customHeight="1" x14ac:dyDescent="0.2">
      <c r="A61" s="115">
        <v>57</v>
      </c>
      <c r="B61" s="116">
        <v>5.85E+36</v>
      </c>
      <c r="C61" s="115">
        <v>1.6839999999999999</v>
      </c>
      <c r="D61" s="115">
        <v>8470</v>
      </c>
      <c r="E61" s="115">
        <v>3.3987999999994201</v>
      </c>
      <c r="F61" s="115">
        <v>1.0000000000000001E-5</v>
      </c>
      <c r="G61" s="117">
        <v>102140</v>
      </c>
      <c r="H61" s="132"/>
      <c r="I61" s="118">
        <f t="shared" si="1"/>
        <v>9930.949358355474</v>
      </c>
      <c r="J61" s="119">
        <f t="shared" si="0"/>
        <v>66219.896753224704</v>
      </c>
      <c r="K61" s="120">
        <f t="shared" si="2"/>
        <v>7.1197356007535517E+33</v>
      </c>
    </row>
    <row r="62" spans="1:11" ht="15.75" customHeight="1" x14ac:dyDescent="0.2">
      <c r="A62" s="115">
        <v>58</v>
      </c>
      <c r="B62" s="116">
        <v>5.9E+36</v>
      </c>
      <c r="C62" s="115">
        <v>1.696</v>
      </c>
      <c r="D62" s="115">
        <v>8490</v>
      </c>
      <c r="E62" s="115">
        <v>3.4098999999994102</v>
      </c>
      <c r="F62" s="115">
        <v>1.0000000000000001E-5</v>
      </c>
      <c r="G62" s="117">
        <v>102160</v>
      </c>
      <c r="H62" s="132"/>
      <c r="I62" s="118">
        <f t="shared" si="1"/>
        <v>9948.8130176297673</v>
      </c>
      <c r="J62" s="119">
        <f t="shared" si="0"/>
        <v>63480.687409292812</v>
      </c>
      <c r="K62" s="120">
        <f t="shared" si="2"/>
        <v>6.8144140850070585E+33</v>
      </c>
    </row>
    <row r="63" spans="1:11" ht="15.75" customHeight="1" x14ac:dyDescent="0.2">
      <c r="A63" s="115">
        <v>59</v>
      </c>
      <c r="B63" s="116">
        <v>5.95E+36</v>
      </c>
      <c r="C63" s="115">
        <v>1.708</v>
      </c>
      <c r="D63" s="115">
        <v>8510</v>
      </c>
      <c r="E63" s="115">
        <v>3.4209999999993999</v>
      </c>
      <c r="F63" s="115">
        <v>1.0000000000000001E-5</v>
      </c>
      <c r="G63" s="117">
        <v>102180</v>
      </c>
      <c r="H63" s="132"/>
      <c r="I63" s="118">
        <f t="shared" si="1"/>
        <v>9966.6929133861249</v>
      </c>
      <c r="J63" s="119">
        <f t="shared" si="0"/>
        <v>60870.227487746677</v>
      </c>
      <c r="K63" s="120">
        <f t="shared" si="2"/>
        <v>6.5213098257922291E+33</v>
      </c>
    </row>
    <row r="64" spans="1:11" ht="15.75" customHeight="1" x14ac:dyDescent="0.2">
      <c r="A64" s="115">
        <v>60</v>
      </c>
      <c r="B64" s="116">
        <v>6E+36</v>
      </c>
      <c r="C64" s="115">
        <v>1.72</v>
      </c>
      <c r="D64" s="115">
        <v>8530</v>
      </c>
      <c r="E64" s="115">
        <v>3.43209999999939</v>
      </c>
      <c r="F64" s="115">
        <v>1.0000000000000001E-5</v>
      </c>
      <c r="G64" s="117">
        <v>102200</v>
      </c>
      <c r="H64" s="132"/>
      <c r="I64" s="118">
        <f t="shared" si="1"/>
        <v>9984.588861226046</v>
      </c>
      <c r="J64" s="119">
        <f t="shared" si="0"/>
        <v>58381.792770372806</v>
      </c>
      <c r="K64" s="120">
        <f t="shared" si="2"/>
        <v>6.2399826092724587E+33</v>
      </c>
    </row>
    <row r="65" spans="1:11" ht="15.75" customHeight="1" x14ac:dyDescent="0.2">
      <c r="A65" s="115">
        <v>61</v>
      </c>
      <c r="B65" s="116">
        <v>6.0499999999999999E+36</v>
      </c>
      <c r="C65" s="115">
        <v>1.732</v>
      </c>
      <c r="D65" s="115">
        <v>8550</v>
      </c>
      <c r="E65" s="115">
        <v>3.4431999999993801</v>
      </c>
      <c r="F65" s="115">
        <v>1.0000000000000001E-5</v>
      </c>
      <c r="G65" s="117">
        <v>102220</v>
      </c>
      <c r="H65" s="132"/>
      <c r="I65" s="118">
        <f t="shared" si="1"/>
        <v>10002.500679532788</v>
      </c>
      <c r="J65" s="119">
        <f t="shared" si="0"/>
        <v>56009.04329407675</v>
      </c>
      <c r="K65" s="120">
        <f t="shared" si="2"/>
        <v>5.9700052980185977E+33</v>
      </c>
    </row>
    <row r="66" spans="1:11" ht="15.75" customHeight="1" x14ac:dyDescent="0.2">
      <c r="A66" s="115">
        <v>62</v>
      </c>
      <c r="B66" s="116">
        <v>6.0999999999999999E+36</v>
      </c>
      <c r="C66" s="115">
        <v>1.744</v>
      </c>
      <c r="D66" s="115">
        <v>8570</v>
      </c>
      <c r="E66" s="115">
        <v>3.4542999999993702</v>
      </c>
      <c r="F66" s="115">
        <v>1.0000000000000001E-5</v>
      </c>
      <c r="G66" s="117">
        <v>102240</v>
      </c>
      <c r="H66" s="132"/>
      <c r="I66" s="118">
        <f t="shared" si="1"/>
        <v>10020.428189419123</v>
      </c>
      <c r="J66" s="119">
        <f t="shared" si="0"/>
        <v>53745.999598837712</v>
      </c>
      <c r="K66" s="120">
        <f t="shared" si="2"/>
        <v>5.7109636137130733E+33</v>
      </c>
    </row>
    <row r="67" spans="1:11" ht="15.75" customHeight="1" x14ac:dyDescent="0.2">
      <c r="A67" s="115">
        <v>63</v>
      </c>
      <c r="B67" s="116">
        <v>6.1499999999999999E+36</v>
      </c>
      <c r="C67" s="115">
        <v>1.756</v>
      </c>
      <c r="D67" s="115">
        <v>8590</v>
      </c>
      <c r="E67" s="115">
        <v>3.4653999999993599</v>
      </c>
      <c r="F67" s="115">
        <v>1.0000000000000001E-5</v>
      </c>
      <c r="G67" s="117">
        <v>102260</v>
      </c>
      <c r="H67" s="133"/>
      <c r="I67" s="118">
        <f t="shared" si="1"/>
        <v>10038.371214676243</v>
      </c>
      <c r="J67" s="119">
        <f t="shared" si="0"/>
        <v>51587.020549611552</v>
      </c>
      <c r="K67" s="120">
        <f t="shared" si="2"/>
        <v>5.4624559110203857E+33</v>
      </c>
    </row>
    <row r="68" spans="1:11" ht="15.75" customHeight="1" x14ac:dyDescent="0.2">
      <c r="A68" s="115">
        <v>64</v>
      </c>
      <c r="B68" s="116">
        <v>6.1999999999999999E+36</v>
      </c>
      <c r="C68" s="115">
        <v>1.768</v>
      </c>
      <c r="D68" s="115">
        <v>8610</v>
      </c>
      <c r="E68" s="115">
        <v>3.47649999999935</v>
      </c>
      <c r="F68" s="115">
        <v>1.0000000000000001E-5</v>
      </c>
      <c r="G68" s="117">
        <v>102280</v>
      </c>
      <c r="H68" s="130"/>
      <c r="I68" s="118">
        <f t="shared" si="1"/>
        <v>10056.329581723816</v>
      </c>
      <c r="J68" s="119">
        <f t="shared" ref="J68:J104" si="3">(K68*D68/G68)^(1/(2*E68))</f>
        <v>49526.782621181737</v>
      </c>
      <c r="K68" s="120">
        <f t="shared" si="2"/>
        <v>5.2240929438679205E+33</v>
      </c>
    </row>
    <row r="69" spans="1:11" ht="15.75" customHeight="1" x14ac:dyDescent="0.2">
      <c r="A69" s="115">
        <v>65</v>
      </c>
      <c r="B69" s="116">
        <v>6.2499999999999999E+36</v>
      </c>
      <c r="C69" s="115">
        <v>1.78</v>
      </c>
      <c r="D69" s="115">
        <v>8630</v>
      </c>
      <c r="E69" s="115">
        <v>3.4875999999993401</v>
      </c>
      <c r="F69" s="115">
        <v>1.0000000000000001E-5</v>
      </c>
      <c r="G69" s="117">
        <v>102300</v>
      </c>
      <c r="H69" s="130"/>
      <c r="I69" s="118">
        <f t="shared" ref="I69:I104" si="4">2*E69*D69/(2*E69-1)</f>
        <v>10074.303119561169</v>
      </c>
      <c r="J69" s="119">
        <f t="shared" si="3"/>
        <v>47560.260543242694</v>
      </c>
      <c r="K69" s="120">
        <f t="shared" ref="K69:K104" si="5">B69/((1+C69)^(2*E69))</f>
        <v>4.9954976252900448E+33</v>
      </c>
    </row>
    <row r="70" spans="1:11" ht="15.75" customHeight="1" x14ac:dyDescent="0.2">
      <c r="A70" s="115">
        <v>66</v>
      </c>
      <c r="B70" s="116">
        <v>6.2999999999999998E+36</v>
      </c>
      <c r="C70" s="115">
        <v>1.792</v>
      </c>
      <c r="D70" s="115">
        <v>8650</v>
      </c>
      <c r="E70" s="115">
        <v>3.4986999999993298</v>
      </c>
      <c r="F70" s="115">
        <v>1.0000000000000001E-5</v>
      </c>
      <c r="G70" s="117">
        <v>102320</v>
      </c>
      <c r="H70" s="130"/>
      <c r="I70" s="118">
        <f t="shared" si="4"/>
        <v>10092.291659719534</v>
      </c>
      <c r="J70" s="119">
        <f t="shared" si="3"/>
        <v>45682.70921062339</v>
      </c>
      <c r="K70" s="120">
        <f t="shared" si="5"/>
        <v>4.776304781904646E+33</v>
      </c>
    </row>
    <row r="71" spans="1:11" ht="15.75" customHeight="1" x14ac:dyDescent="0.2">
      <c r="A71" s="115">
        <v>67</v>
      </c>
      <c r="B71" s="116">
        <v>6.3499999999999998E+36</v>
      </c>
      <c r="C71" s="115">
        <v>1.804</v>
      </c>
      <c r="D71" s="115">
        <v>8670</v>
      </c>
      <c r="E71" s="115">
        <v>3.5097999999993199</v>
      </c>
      <c r="F71" s="115">
        <v>1.0000000000000001E-5</v>
      </c>
      <c r="G71" s="117">
        <v>102340</v>
      </c>
      <c r="H71" s="130"/>
      <c r="I71" s="118">
        <f t="shared" si="4"/>
        <v>10110.295036215357</v>
      </c>
      <c r="J71" s="119">
        <f t="shared" si="3"/>
        <v>43889.646770598345</v>
      </c>
      <c r="K71" s="120">
        <f t="shared" si="5"/>
        <v>4.5661609040101804E+33</v>
      </c>
    </row>
    <row r="72" spans="1:11" ht="15.75" customHeight="1" x14ac:dyDescent="0.2">
      <c r="A72" s="115">
        <v>68</v>
      </c>
      <c r="B72" s="116">
        <v>6.3999999999999998E+36</v>
      </c>
      <c r="C72" s="115">
        <v>1.8160000000000001</v>
      </c>
      <c r="D72" s="115">
        <v>8690</v>
      </c>
      <c r="E72" s="115">
        <v>3.52089999999931</v>
      </c>
      <c r="F72" s="115">
        <v>1.0000000000000001E-5</v>
      </c>
      <c r="G72" s="117">
        <v>102360</v>
      </c>
      <c r="H72" s="130"/>
      <c r="I72" s="118">
        <f t="shared" si="4"/>
        <v>10128.313085504647</v>
      </c>
      <c r="J72" s="119">
        <f t="shared" si="3"/>
        <v>42176.838805715975</v>
      </c>
      <c r="K72" s="120">
        <f t="shared" si="5"/>
        <v>4.3647238922173142E+33</v>
      </c>
    </row>
    <row r="73" spans="1:11" ht="15.75" customHeight="1" x14ac:dyDescent="0.2">
      <c r="A73" s="115">
        <v>69</v>
      </c>
      <c r="B73" s="116">
        <v>6.4499999999999998E+36</v>
      </c>
      <c r="C73" s="115">
        <v>1.8280000000000001</v>
      </c>
      <c r="D73" s="115">
        <v>8710</v>
      </c>
      <c r="E73" s="115">
        <v>3.5319999999993001</v>
      </c>
      <c r="F73" s="115">
        <v>1.0000000000000001E-5</v>
      </c>
      <c r="G73" s="117">
        <v>102380</v>
      </c>
      <c r="H73" s="130"/>
      <c r="I73" s="118">
        <f t="shared" si="4"/>
        <v>10146.345646438325</v>
      </c>
      <c r="J73" s="119">
        <f t="shared" si="3"/>
        <v>40540.283536556664</v>
      </c>
      <c r="K73" s="120">
        <f t="shared" si="5"/>
        <v>4.1716628014572773E+33</v>
      </c>
    </row>
    <row r="74" spans="1:11" ht="15.75" customHeight="1" x14ac:dyDescent="0.2">
      <c r="A74" s="115">
        <v>70</v>
      </c>
      <c r="B74" s="116">
        <v>6.4999999999999998E+36</v>
      </c>
      <c r="C74" s="115">
        <v>1.84</v>
      </c>
      <c r="D74" s="115">
        <v>8730</v>
      </c>
      <c r="E74" s="115">
        <v>3.5430999999992898</v>
      </c>
      <c r="F74" s="115">
        <v>1.0000000000000001E-5</v>
      </c>
      <c r="G74" s="117">
        <v>102400</v>
      </c>
      <c r="H74" s="130"/>
      <c r="I74" s="118">
        <f t="shared" si="4"/>
        <v>10164.392560218534</v>
      </c>
      <c r="J74" s="119">
        <f t="shared" si="3"/>
        <v>38976.197974357019</v>
      </c>
      <c r="K74" s="120">
        <f t="shared" si="5"/>
        <v>3.9866575831435656E+33</v>
      </c>
    </row>
    <row r="75" spans="1:11" ht="15.75" customHeight="1" x14ac:dyDescent="0.2">
      <c r="A75" s="115">
        <v>71</v>
      </c>
      <c r="B75" s="116">
        <v>6.5499999999999997E+36</v>
      </c>
      <c r="C75" s="115">
        <v>1.8520000000000001</v>
      </c>
      <c r="D75" s="115">
        <v>8750</v>
      </c>
      <c r="E75" s="115">
        <v>3.5541999999992799</v>
      </c>
      <c r="F75" s="115">
        <v>1.0000000000000001E-5</v>
      </c>
      <c r="G75" s="117">
        <v>102420</v>
      </c>
      <c r="H75" s="130"/>
      <c r="I75" s="118">
        <f t="shared" si="4"/>
        <v>10182.453670355913</v>
      </c>
      <c r="J75" s="119">
        <f t="shared" si="3"/>
        <v>37481.004958529586</v>
      </c>
      <c r="K75" s="120">
        <f t="shared" si="5"/>
        <v>3.8093988262002157E+33</v>
      </c>
    </row>
    <row r="76" spans="1:11" ht="15.75" customHeight="1" x14ac:dyDescent="0.2">
      <c r="A76" s="115">
        <v>72</v>
      </c>
      <c r="B76" s="116">
        <v>6.5999999999999997E+36</v>
      </c>
      <c r="C76" s="115">
        <v>1.8640000000000001</v>
      </c>
      <c r="D76" s="115">
        <v>8770</v>
      </c>
      <c r="E76" s="115">
        <v>3.5652999999992701</v>
      </c>
      <c r="F76" s="115">
        <v>1.0000000000000001E-5</v>
      </c>
      <c r="G76" s="117">
        <v>102440</v>
      </c>
      <c r="H76" s="130"/>
      <c r="I76" s="118">
        <f t="shared" si="4"/>
        <v>10200.528822627815</v>
      </c>
      <c r="J76" s="119">
        <f t="shared" si="3"/>
        <v>36051.321018816459</v>
      </c>
      <c r="K76" s="120">
        <f t="shared" si="5"/>
        <v>3.6395874976118981E+33</v>
      </c>
    </row>
    <row r="77" spans="1:11" ht="15.75" customHeight="1" x14ac:dyDescent="0.2">
      <c r="A77" s="115">
        <v>73</v>
      </c>
      <c r="B77" s="116">
        <v>6.6499999999999997E+36</v>
      </c>
      <c r="C77" s="115">
        <v>1.8759999999999999</v>
      </c>
      <c r="D77" s="115">
        <v>8790</v>
      </c>
      <c r="E77" s="115">
        <v>3.5763999999992602</v>
      </c>
      <c r="F77" s="115">
        <v>1.0000000000000001E-5</v>
      </c>
      <c r="G77" s="117">
        <v>102460</v>
      </c>
      <c r="H77" s="130"/>
      <c r="I77" s="118">
        <f t="shared" si="4"/>
        <v>10218.6178650374</v>
      </c>
      <c r="J77" s="119">
        <f t="shared" si="3"/>
        <v>34683.945006158101</v>
      </c>
      <c r="K77" s="120">
        <f t="shared" si="5"/>
        <v>3.4769346830952164E+33</v>
      </c>
    </row>
    <row r="78" spans="1:11" ht="15.75" customHeight="1" x14ac:dyDescent="0.2">
      <c r="A78" s="115">
        <v>74</v>
      </c>
      <c r="B78" s="116">
        <v>6.6999999999999997E+36</v>
      </c>
      <c r="C78" s="115">
        <v>1.8879999999999999</v>
      </c>
      <c r="D78" s="115">
        <v>8810</v>
      </c>
      <c r="E78" s="115">
        <v>3.5874999999992498</v>
      </c>
      <c r="F78" s="115">
        <v>1.0000000000000001E-5</v>
      </c>
      <c r="G78" s="117">
        <v>102480</v>
      </c>
      <c r="H78" s="130"/>
      <c r="I78" s="118">
        <f t="shared" si="4"/>
        <v>10236.720647773625</v>
      </c>
      <c r="J78" s="119">
        <f t="shared" si="3"/>
        <v>33375.847440380312</v>
      </c>
      <c r="K78" s="120">
        <f t="shared" si="5"/>
        <v>3.3211613284397037E+33</v>
      </c>
    </row>
    <row r="79" spans="1:11" ht="15.75" customHeight="1" x14ac:dyDescent="0.2">
      <c r="A79" s="115">
        <v>75</v>
      </c>
      <c r="B79" s="116">
        <v>6.7499999999999997E+36</v>
      </c>
      <c r="C79" s="115">
        <v>1.9</v>
      </c>
      <c r="D79" s="115">
        <v>8830</v>
      </c>
      <c r="E79" s="115">
        <v>3.59859999999924</v>
      </c>
      <c r="F79" s="115">
        <v>1.0000000000000001E-5</v>
      </c>
      <c r="G79" s="117">
        <v>102500</v>
      </c>
      <c r="H79" s="130"/>
      <c r="I79" s="118">
        <f t="shared" si="4"/>
        <v>10254.837023172106</v>
      </c>
      <c r="J79" s="119">
        <f t="shared" si="3"/>
        <v>32124.160526509375</v>
      </c>
      <c r="K79" s="120">
        <f t="shared" si="5"/>
        <v>3.1719979820176601E+33</v>
      </c>
    </row>
    <row r="80" spans="1:11" ht="15.75" customHeight="1" x14ac:dyDescent="0.2">
      <c r="A80" s="115">
        <v>76</v>
      </c>
      <c r="B80" s="116">
        <v>6.7999999999999996E+36</v>
      </c>
      <c r="C80" s="115">
        <v>1.9119999999999999</v>
      </c>
      <c r="D80" s="115">
        <v>8850</v>
      </c>
      <c r="E80" s="115">
        <v>3.6096999999992301</v>
      </c>
      <c r="F80" s="115">
        <v>1.0000000000000001E-5</v>
      </c>
      <c r="G80" s="117">
        <v>102520</v>
      </c>
      <c r="H80" s="130"/>
      <c r="I80" s="118">
        <f t="shared" si="4"/>
        <v>10272.966845676785</v>
      </c>
      <c r="J80" s="119">
        <f t="shared" si="3"/>
        <v>30926.168794962705</v>
      </c>
      <c r="K80" s="120">
        <f t="shared" si="5"/>
        <v>3.0291845389174186E+33</v>
      </c>
    </row>
    <row r="81" spans="1:11" ht="15.75" customHeight="1" x14ac:dyDescent="0.2">
      <c r="A81" s="115">
        <v>77</v>
      </c>
      <c r="B81" s="116">
        <v>6.8499999999999996E+36</v>
      </c>
      <c r="C81" s="115">
        <v>1.9239999999999999</v>
      </c>
      <c r="D81" s="115">
        <v>8870</v>
      </c>
      <c r="E81" s="115">
        <v>3.6207999999992202</v>
      </c>
      <c r="F81" s="115">
        <v>1.0000000000000001E-5</v>
      </c>
      <c r="G81" s="117">
        <v>102540</v>
      </c>
      <c r="H81" s="130"/>
      <c r="I81" s="118">
        <f t="shared" si="4"/>
        <v>10291.109971802458</v>
      </c>
      <c r="J81" s="119">
        <f t="shared" si="3"/>
        <v>29779.300324033622</v>
      </c>
      <c r="K81" s="120">
        <f t="shared" si="5"/>
        <v>2.8924699871114564E+33</v>
      </c>
    </row>
    <row r="82" spans="1:11" ht="15.75" customHeight="1" x14ac:dyDescent="0.2">
      <c r="A82" s="115">
        <v>78</v>
      </c>
      <c r="B82" s="116">
        <v>6.8999999999999996E+36</v>
      </c>
      <c r="C82" s="115">
        <v>1.9359999999999999</v>
      </c>
      <c r="D82" s="115">
        <v>8890</v>
      </c>
      <c r="E82" s="115">
        <v>3.6318999999992099</v>
      </c>
      <c r="F82" s="115">
        <v>1.0000000000000001E-5</v>
      </c>
      <c r="G82" s="117">
        <v>102560</v>
      </c>
      <c r="H82" s="130"/>
      <c r="I82" s="118">
        <f t="shared" si="4"/>
        <v>10309.266260098062</v>
      </c>
      <c r="J82" s="119">
        <f t="shared" si="3"/>
        <v>28681.118506028379</v>
      </c>
      <c r="K82" s="120">
        <f t="shared" si="5"/>
        <v>2.7616121560314151E+33</v>
      </c>
    </row>
    <row r="83" spans="1:11" ht="15.75" customHeight="1" x14ac:dyDescent="0.2">
      <c r="A83" s="115">
        <v>79</v>
      </c>
      <c r="B83" s="116">
        <v>6.9499999999999996E+36</v>
      </c>
      <c r="C83" s="115">
        <v>1.948</v>
      </c>
      <c r="D83" s="115">
        <v>8910</v>
      </c>
      <c r="E83" s="115">
        <v>3.6429999999992</v>
      </c>
      <c r="F83" s="115">
        <v>1.0000000000000001E-5</v>
      </c>
      <c r="G83" s="117">
        <v>102580</v>
      </c>
      <c r="H83" s="130"/>
      <c r="I83" s="118">
        <f t="shared" si="4"/>
        <v>10327.435571110764</v>
      </c>
      <c r="J83" s="119">
        <f t="shared" si="3"/>
        <v>27629.314321132064</v>
      </c>
      <c r="K83" s="120">
        <f t="shared" si="5"/>
        <v>2.6363774678847635E+33</v>
      </c>
    </row>
    <row r="84" spans="1:11" ht="15.75" customHeight="1" x14ac:dyDescent="0.2">
      <c r="A84" s="115">
        <v>80</v>
      </c>
      <c r="B84" s="116">
        <v>6.9999999999999996E+36</v>
      </c>
      <c r="C84" s="115">
        <v>1.96</v>
      </c>
      <c r="D84" s="115">
        <v>8930</v>
      </c>
      <c r="E84" s="115">
        <v>3.6540999999991901</v>
      </c>
      <c r="F84" s="115">
        <v>1.0000000000000001E-5</v>
      </c>
      <c r="G84" s="117">
        <v>102600</v>
      </c>
      <c r="H84" s="130"/>
      <c r="I84" s="118">
        <f t="shared" si="4"/>
        <v>10345.617767350797</v>
      </c>
      <c r="J84" s="119">
        <f t="shared" si="3"/>
        <v>26621.699085595148</v>
      </c>
      <c r="K84" s="120">
        <f t="shared" si="5"/>
        <v>2.5165406920132061E+33</v>
      </c>
    </row>
    <row r="85" spans="1:11" ht="15.75" customHeight="1" x14ac:dyDescent="0.2">
      <c r="A85" s="115">
        <v>81</v>
      </c>
      <c r="B85" s="116">
        <v>7.0499999999999995E+36</v>
      </c>
      <c r="C85" s="115">
        <v>1.972</v>
      </c>
      <c r="D85" s="115">
        <v>8950</v>
      </c>
      <c r="E85" s="115">
        <v>3.6651999999991798</v>
      </c>
      <c r="F85" s="115">
        <v>1.0000000000000001E-5</v>
      </c>
      <c r="G85" s="117">
        <v>102620</v>
      </c>
      <c r="H85" s="130"/>
      <c r="I85" s="118">
        <f t="shared" si="4"/>
        <v>10363.812713257033</v>
      </c>
      <c r="J85" s="119">
        <f t="shared" si="3"/>
        <v>25656.197643166321</v>
      </c>
      <c r="K85" s="120">
        <f t="shared" si="5"/>
        <v>2.4018847025605401E+33</v>
      </c>
    </row>
    <row r="86" spans="1:11" ht="15.75" customHeight="1" x14ac:dyDescent="0.2">
      <c r="A86" s="115">
        <v>82</v>
      </c>
      <c r="B86" s="116">
        <v>7.0999999999999995E+36</v>
      </c>
      <c r="C86" s="115">
        <v>1.984</v>
      </c>
      <c r="D86" s="115">
        <v>8970</v>
      </c>
      <c r="E86" s="115">
        <v>3.6762999999991699</v>
      </c>
      <c r="F86" s="115">
        <v>1.0000000000000001E-5</v>
      </c>
      <c r="G86" s="117">
        <v>102640</v>
      </c>
      <c r="H86" s="130"/>
      <c r="I86" s="118">
        <f t="shared" si="4"/>
        <v>10382.020275163295</v>
      </c>
      <c r="J86" s="119">
        <f t="shared" si="3"/>
        <v>24730.841970853424</v>
      </c>
      <c r="K86" s="120">
        <f t="shared" si="5"/>
        <v>2.2922002396874381E+33</v>
      </c>
    </row>
    <row r="87" spans="1:11" ht="15.75" customHeight="1" x14ac:dyDescent="0.2">
      <c r="A87" s="115">
        <v>83</v>
      </c>
      <c r="B87" s="116">
        <v>7.1499999999999995E+36</v>
      </c>
      <c r="C87" s="115">
        <v>1.996</v>
      </c>
      <c r="D87" s="115">
        <v>8990</v>
      </c>
      <c r="E87" s="115">
        <v>3.68739999999916</v>
      </c>
      <c r="F87" s="115">
        <v>1.0000000000000001E-5</v>
      </c>
      <c r="G87" s="117">
        <v>102660</v>
      </c>
      <c r="H87" s="130"/>
      <c r="I87" s="118">
        <f t="shared" si="4"/>
        <v>10400.240321265353</v>
      </c>
      <c r="J87" s="119">
        <f t="shared" si="3"/>
        <v>23843.76517209825</v>
      </c>
      <c r="K87" s="120">
        <f t="shared" si="5"/>
        <v>2.1872856745426399E+33</v>
      </c>
    </row>
    <row r="88" spans="1:11" ht="15.75" customHeight="1" x14ac:dyDescent="0.2">
      <c r="A88" s="115">
        <v>84</v>
      </c>
      <c r="B88" s="116">
        <v>7.1999999999999995E+36</v>
      </c>
      <c r="C88" s="115">
        <v>2.008</v>
      </c>
      <c r="D88" s="115">
        <v>9010</v>
      </c>
      <c r="E88" s="115">
        <v>3.6984999999991501</v>
      </c>
      <c r="F88" s="115">
        <v>1.0000000000000001E-5</v>
      </c>
      <c r="G88" s="117">
        <v>102680</v>
      </c>
      <c r="H88" s="130"/>
      <c r="I88" s="118">
        <f t="shared" si="4"/>
        <v>10418.47272158862</v>
      </c>
      <c r="J88" s="119">
        <f t="shared" si="3"/>
        <v>22993.195832303365</v>
      </c>
      <c r="K88" s="120">
        <f t="shared" si="5"/>
        <v>2.0869467781737346E+33</v>
      </c>
    </row>
    <row r="89" spans="1:11" ht="15.75" customHeight="1" x14ac:dyDescent="0.2">
      <c r="A89" s="115">
        <v>85</v>
      </c>
      <c r="B89" s="116">
        <v>7.2499999999999995E+36</v>
      </c>
      <c r="C89" s="115">
        <v>2.02</v>
      </c>
      <c r="D89" s="115">
        <v>9030</v>
      </c>
      <c r="E89" s="115">
        <v>3.7095999999991398</v>
      </c>
      <c r="F89" s="115">
        <v>1.0000000000000001E-5</v>
      </c>
      <c r="G89" s="117">
        <v>102700</v>
      </c>
      <c r="H89" s="130"/>
      <c r="I89" s="118">
        <f t="shared" si="4"/>
        <v>10436.717347956508</v>
      </c>
      <c r="J89" s="119">
        <f t="shared" si="3"/>
        <v>22177.452713371764</v>
      </c>
      <c r="K89" s="120">
        <f t="shared" si="5"/>
        <v>1.9909964945365442E+33</v>
      </c>
    </row>
    <row r="90" spans="1:11" ht="15.75" customHeight="1" x14ac:dyDescent="0.2">
      <c r="A90" s="115">
        <v>86</v>
      </c>
      <c r="B90" s="116">
        <v>7.2999999999999994E+36</v>
      </c>
      <c r="C90" s="115">
        <v>2.032</v>
      </c>
      <c r="D90" s="115">
        <v>9050</v>
      </c>
      <c r="E90" s="115">
        <v>3.7206999999991299</v>
      </c>
      <c r="F90" s="115">
        <v>1.0000000000000001E-5</v>
      </c>
      <c r="G90" s="117">
        <v>102720</v>
      </c>
      <c r="H90" s="130"/>
      <c r="I90" s="118">
        <f t="shared" si="4"/>
        <v>10454.974073959456</v>
      </c>
      <c r="J90" s="119">
        <f t="shared" si="3"/>
        <v>21394.939765512539</v>
      </c>
      <c r="K90" s="120">
        <f t="shared" si="5"/>
        <v>1.8992547177394293E+33</v>
      </c>
    </row>
    <row r="91" spans="1:11" ht="15.75" customHeight="1" x14ac:dyDescent="0.2">
      <c r="A91" s="115">
        <v>87</v>
      </c>
      <c r="B91" s="116">
        <v>7.3499999999999994E+36</v>
      </c>
      <c r="C91" s="115">
        <v>2.044</v>
      </c>
      <c r="D91" s="115">
        <v>9070</v>
      </c>
      <c r="E91" s="115">
        <v>3.73179999999912</v>
      </c>
      <c r="F91" s="115">
        <v>1.0000000000000001E-5</v>
      </c>
      <c r="G91" s="117">
        <v>102740</v>
      </c>
      <c r="H91" s="130"/>
      <c r="I91" s="118">
        <f t="shared" si="4"/>
        <v>10473.242774924573</v>
      </c>
      <c r="J91" s="119">
        <f t="shared" si="3"/>
        <v>20644.141436049813</v>
      </c>
      <c r="K91" s="120">
        <f t="shared" si="5"/>
        <v>1.8115480736380088E+33</v>
      </c>
    </row>
    <row r="92" spans="1:11" ht="15.75" customHeight="1" x14ac:dyDescent="0.2">
      <c r="A92" s="115">
        <v>88</v>
      </c>
      <c r="B92" s="116">
        <v>7.4000000000000006E+36</v>
      </c>
      <c r="C92" s="115">
        <v>2.056</v>
      </c>
      <c r="D92" s="115">
        <v>9090</v>
      </c>
      <c r="E92" s="115">
        <v>3.7428999999991102</v>
      </c>
      <c r="F92" s="115">
        <v>1.0000000000000001E-5</v>
      </c>
      <c r="G92" s="117">
        <v>102760</v>
      </c>
      <c r="H92" s="130"/>
      <c r="I92" s="118">
        <f t="shared" si="4"/>
        <v>10491.52332788592</v>
      </c>
      <c r="J92" s="119">
        <f t="shared" si="3"/>
        <v>19923.618256341884</v>
      </c>
      <c r="K92" s="120">
        <f t="shared" si="5"/>
        <v>1.7277097058763342E+33</v>
      </c>
    </row>
    <row r="93" spans="1:11" ht="15.75" customHeight="1" x14ac:dyDescent="0.2">
      <c r="A93" s="115">
        <v>89</v>
      </c>
      <c r="B93" s="116">
        <v>7.4500000000000006E+36</v>
      </c>
      <c r="C93" s="115">
        <v>2.0680000000000001</v>
      </c>
      <c r="D93" s="115">
        <v>9110</v>
      </c>
      <c r="E93" s="115">
        <v>3.7539999999990998</v>
      </c>
      <c r="F93" s="115">
        <v>1.0000000000000001E-5</v>
      </c>
      <c r="G93" s="117">
        <v>102780</v>
      </c>
      <c r="H93" s="130"/>
      <c r="I93" s="118">
        <f t="shared" si="4"/>
        <v>10509.815611555397</v>
      </c>
      <c r="J93" s="119">
        <f t="shared" si="3"/>
        <v>19232.002689197263</v>
      </c>
      <c r="K93" s="120">
        <f t="shared" si="5"/>
        <v>1.6475790664526942E+33</v>
      </c>
    </row>
    <row r="94" spans="1:11" ht="15.75" customHeight="1" x14ac:dyDescent="0.2">
      <c r="A94" s="115">
        <v>90</v>
      </c>
      <c r="B94" s="116">
        <v>7.5000000000000005E+36</v>
      </c>
      <c r="C94" s="115">
        <v>2.08</v>
      </c>
      <c r="D94" s="115">
        <v>9130</v>
      </c>
      <c r="E94" s="115">
        <v>3.76509999999909</v>
      </c>
      <c r="F94" s="115">
        <v>1.0000000000000001E-5</v>
      </c>
      <c r="G94" s="117">
        <v>102800</v>
      </c>
      <c r="H94" s="130"/>
      <c r="I94" s="118">
        <f t="shared" si="4"/>
        <v>10528.119506294224</v>
      </c>
      <c r="J94" s="119">
        <f t="shared" si="3"/>
        <v>18567.995220355246</v>
      </c>
      <c r="K94" s="120">
        <f t="shared" si="5"/>
        <v>1.5710017108715863E+33</v>
      </c>
    </row>
    <row r="95" spans="1:11" ht="15.75" customHeight="1" x14ac:dyDescent="0.2">
      <c r="A95" s="115">
        <v>91</v>
      </c>
      <c r="B95" s="116">
        <v>7.5500000000000005E+36</v>
      </c>
      <c r="C95" s="115">
        <v>2.0920000000000001</v>
      </c>
      <c r="D95" s="115">
        <v>9150</v>
      </c>
      <c r="E95" s="115">
        <v>3.7761999999990801</v>
      </c>
      <c r="F95" s="115">
        <v>1.0000000000000001E-5</v>
      </c>
      <c r="G95" s="117">
        <v>102820</v>
      </c>
      <c r="H95" s="130"/>
      <c r="I95" s="118">
        <f t="shared" si="4"/>
        <v>10546.434894085003</v>
      </c>
      <c r="J95" s="119">
        <f t="shared" si="3"/>
        <v>17930.36067870224</v>
      </c>
      <c r="K95" s="120">
        <f t="shared" si="5"/>
        <v>1.4978290979282141E+33</v>
      </c>
    </row>
    <row r="96" spans="1:11" ht="15.75" customHeight="1" x14ac:dyDescent="0.2">
      <c r="A96" s="115">
        <v>92</v>
      </c>
      <c r="B96" s="116">
        <v>7.6000000000000005E+36</v>
      </c>
      <c r="C96" s="115">
        <v>2.1040000000000001</v>
      </c>
      <c r="D96" s="115">
        <v>9170</v>
      </c>
      <c r="E96" s="115">
        <v>3.7872999999990702</v>
      </c>
      <c r="F96" s="115">
        <v>1.0000000000000001E-5</v>
      </c>
      <c r="G96" s="117">
        <v>102840</v>
      </c>
      <c r="H96" s="130"/>
      <c r="I96" s="118">
        <f t="shared" si="4"/>
        <v>10564.761658504332</v>
      </c>
      <c r="J96" s="119">
        <f t="shared" si="3"/>
        <v>17317.924770915324</v>
      </c>
      <c r="K96" s="120">
        <f t="shared" si="5"/>
        <v>1.4279183941577531E+33</v>
      </c>
    </row>
    <row r="97" spans="1:11" ht="15.75" customHeight="1" x14ac:dyDescent="0.2">
      <c r="A97" s="115">
        <v>93</v>
      </c>
      <c r="B97" s="116">
        <v>7.6500000000000005E+36</v>
      </c>
      <c r="C97" s="115">
        <v>2.1160000000000001</v>
      </c>
      <c r="D97" s="115">
        <v>9190</v>
      </c>
      <c r="E97" s="115">
        <v>3.7983999999990599</v>
      </c>
      <c r="F97" s="115">
        <v>1.0000000000000001E-5</v>
      </c>
      <c r="G97" s="117">
        <v>102860</v>
      </c>
      <c r="H97" s="130"/>
      <c r="I97" s="118">
        <f t="shared" si="4"/>
        <v>10583.099684696006</v>
      </c>
      <c r="J97" s="119">
        <f t="shared" si="3"/>
        <v>16729.570817176336</v>
      </c>
      <c r="K97" s="120">
        <f t="shared" si="5"/>
        <v>1.3611322829687584E+33</v>
      </c>
    </row>
    <row r="98" spans="1:11" ht="15.75" customHeight="1" x14ac:dyDescent="0.2">
      <c r="A98" s="115">
        <v>94</v>
      </c>
      <c r="B98" s="116">
        <v>7.7000000000000005E+36</v>
      </c>
      <c r="C98" s="115">
        <v>2.1280000000000001</v>
      </c>
      <c r="D98" s="115">
        <v>9210</v>
      </c>
      <c r="E98" s="115">
        <v>3.80949999999905</v>
      </c>
      <c r="F98" s="115">
        <v>1.0000000000000001E-5</v>
      </c>
      <c r="G98" s="117">
        <v>102880</v>
      </c>
      <c r="H98" s="130"/>
      <c r="I98" s="118">
        <f t="shared" si="4"/>
        <v>10601.448859344711</v>
      </c>
      <c r="J98" s="119">
        <f t="shared" si="3"/>
        <v>16164.236675483529</v>
      </c>
      <c r="K98" s="120">
        <f t="shared" si="5"/>
        <v>1.2973387784681475E+33</v>
      </c>
    </row>
    <row r="99" spans="1:11" ht="15.75" customHeight="1" x14ac:dyDescent="0.2">
      <c r="A99" s="115">
        <v>95</v>
      </c>
      <c r="B99" s="116">
        <v>7.7500000000000004E+36</v>
      </c>
      <c r="C99" s="115">
        <v>2.14</v>
      </c>
      <c r="D99" s="115">
        <v>9230</v>
      </c>
      <c r="E99" s="115">
        <v>3.8205999999990401</v>
      </c>
      <c r="F99" s="115">
        <v>1.0000000000000001E-5</v>
      </c>
      <c r="G99" s="117">
        <v>102900</v>
      </c>
      <c r="H99" s="130"/>
      <c r="I99" s="118">
        <f t="shared" si="4"/>
        <v>10619.809070650283</v>
      </c>
      <c r="J99" s="119">
        <f t="shared" si="3"/>
        <v>15620.911842909451</v>
      </c>
      <c r="K99" s="120">
        <f t="shared" si="5"/>
        <v>1.2364110439744991E+33</v>
      </c>
    </row>
    <row r="100" spans="1:11" ht="15.75" customHeight="1" x14ac:dyDescent="0.2">
      <c r="A100" s="115">
        <v>96</v>
      </c>
      <c r="B100" s="116">
        <v>7.8000000000000004E+36</v>
      </c>
      <c r="C100" s="115">
        <v>2.1520000000000001</v>
      </c>
      <c r="D100" s="115">
        <v>9250</v>
      </c>
      <c r="E100" s="115">
        <v>3.8316999999990302</v>
      </c>
      <c r="F100" s="115">
        <v>1.0000000000000001E-5</v>
      </c>
      <c r="G100" s="117">
        <v>102920</v>
      </c>
      <c r="H100" s="130"/>
      <c r="I100" s="118">
        <f t="shared" si="4"/>
        <v>10638.180208302472</v>
      </c>
      <c r="J100" s="119">
        <f t="shared" si="3"/>
        <v>15098.634722918832</v>
      </c>
      <c r="K100" s="120">
        <f t="shared" si="5"/>
        <v>1.1782272152063403E+33</v>
      </c>
    </row>
    <row r="101" spans="1:11" ht="15.75" customHeight="1" x14ac:dyDescent="0.2">
      <c r="A101" s="115">
        <v>97</v>
      </c>
      <c r="B101" s="116">
        <v>7.8500000000000004E+36</v>
      </c>
      <c r="C101" s="115">
        <v>2.1640000000000001</v>
      </c>
      <c r="D101" s="115">
        <v>9270</v>
      </c>
      <c r="E101" s="115">
        <v>3.8427999999990199</v>
      </c>
      <c r="F101" s="115">
        <v>1.0000000000000001E-5</v>
      </c>
      <c r="G101" s="117">
        <v>102940</v>
      </c>
      <c r="H101" s="130"/>
      <c r="I101" s="118">
        <f t="shared" si="4"/>
        <v>10656.562163456192</v>
      </c>
      <c r="J101" s="119">
        <f t="shared" si="3"/>
        <v>14596.490048571719</v>
      </c>
      <c r="K101" s="120">
        <f t="shared" si="5"/>
        <v>1.1226702281232085E+33</v>
      </c>
    </row>
    <row r="102" spans="1:11" ht="15.75" customHeight="1" x14ac:dyDescent="0.2">
      <c r="A102" s="115">
        <v>98</v>
      </c>
      <c r="B102" s="116">
        <v>7.9000000000000004E+36</v>
      </c>
      <c r="C102" s="115">
        <v>2.1760000000000002</v>
      </c>
      <c r="D102" s="115">
        <v>9290</v>
      </c>
      <c r="E102" s="115">
        <v>3.85389999999901</v>
      </c>
      <c r="F102" s="115">
        <v>1.0000000000000001E-5</v>
      </c>
      <c r="G102" s="117">
        <v>102960</v>
      </c>
      <c r="H102" s="130"/>
      <c r="I102" s="118">
        <f t="shared" si="4"/>
        <v>10674.954828707287</v>
      </c>
      <c r="J102" s="119">
        <f t="shared" si="3"/>
        <v>14113.606452100143</v>
      </c>
      <c r="K102" s="120">
        <f t="shared" si="5"/>
        <v>1.0696276513889559E+33</v>
      </c>
    </row>
    <row r="103" spans="1:11" ht="15.75" customHeight="1" x14ac:dyDescent="0.2">
      <c r="A103" s="115">
        <v>99</v>
      </c>
      <c r="B103" s="116">
        <v>7.9500000000000004E+36</v>
      </c>
      <c r="C103" s="115">
        <v>2.1880000000000002</v>
      </c>
      <c r="D103" s="115">
        <v>9310</v>
      </c>
      <c r="E103" s="115">
        <v>3.8649999999990001</v>
      </c>
      <c r="F103" s="115">
        <v>1.0000000000000001E-5</v>
      </c>
      <c r="G103" s="117">
        <v>102980</v>
      </c>
      <c r="H103" s="130"/>
      <c r="I103" s="118">
        <f t="shared" si="4"/>
        <v>10693.35809806876</v>
      </c>
      <c r="J103" s="119">
        <f t="shared" si="3"/>
        <v>13649.154171963011</v>
      </c>
      <c r="K103" s="120">
        <f t="shared" si="5"/>
        <v>1.0189915234194672E+33</v>
      </c>
    </row>
    <row r="104" spans="1:11" ht="15.75" customHeight="1" x14ac:dyDescent="0.2">
      <c r="A104" s="115">
        <v>100</v>
      </c>
      <c r="B104" s="116">
        <v>8.0000000000000003E+36</v>
      </c>
      <c r="C104" s="115">
        <v>2.2000000000000002</v>
      </c>
      <c r="D104" s="115">
        <v>9330</v>
      </c>
      <c r="E104" s="115">
        <v>3.8760999999989898</v>
      </c>
      <c r="F104" s="115">
        <v>1.0000000000000001E-5</v>
      </c>
      <c r="G104" s="117">
        <v>103000</v>
      </c>
      <c r="H104" s="130"/>
      <c r="I104" s="118">
        <f t="shared" si="4"/>
        <v>10711.771866947483</v>
      </c>
      <c r="J104" s="119">
        <f t="shared" si="3"/>
        <v>13202.342889058578</v>
      </c>
      <c r="K104" s="120">
        <f t="shared" si="5"/>
        <v>9.7065819397018245E+32</v>
      </c>
    </row>
    <row r="106" spans="1:11" x14ac:dyDescent="0.2">
      <c r="J106" s="134"/>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2"/>
  <dimension ref="A1:J21"/>
  <sheetViews>
    <sheetView workbookViewId="0">
      <selection activeCell="C32" sqref="C32"/>
    </sheetView>
  </sheetViews>
  <sheetFormatPr defaultRowHeight="12.75" x14ac:dyDescent="0.2"/>
  <cols>
    <col min="1" max="1" width="3.7109375" customWidth="1"/>
    <col min="2" max="2" width="12" bestFit="1" customWidth="1"/>
    <col min="4" max="4" width="15.42578125" customWidth="1"/>
    <col min="5" max="5" width="10.85546875" customWidth="1"/>
    <col min="6" max="6" width="12.42578125" bestFit="1" customWidth="1"/>
    <col min="7" max="7" width="13.28515625" bestFit="1" customWidth="1"/>
    <col min="8" max="8" width="8.5703125" bestFit="1" customWidth="1"/>
  </cols>
  <sheetData>
    <row r="1" spans="1:10" x14ac:dyDescent="0.2">
      <c r="A1" t="s">
        <v>47</v>
      </c>
    </row>
    <row r="2" spans="1:10" x14ac:dyDescent="0.2">
      <c r="A2" s="2" t="s">
        <v>46</v>
      </c>
    </row>
    <row r="3" spans="1:10" ht="13.5" thickBot="1" x14ac:dyDescent="0.25"/>
    <row r="4" spans="1:10" ht="15" thickBot="1" x14ac:dyDescent="0.25">
      <c r="A4" s="32" t="s">
        <v>38</v>
      </c>
      <c r="B4" s="33" t="s">
        <v>39</v>
      </c>
      <c r="C4" s="33" t="s">
        <v>40</v>
      </c>
      <c r="D4" s="33" t="s">
        <v>41</v>
      </c>
      <c r="E4" s="33" t="s">
        <v>42</v>
      </c>
      <c r="F4" s="33" t="s">
        <v>43</v>
      </c>
      <c r="G4" s="33" t="s">
        <v>44</v>
      </c>
      <c r="H4" s="34" t="s">
        <v>45</v>
      </c>
      <c r="I4" s="35" t="s">
        <v>25</v>
      </c>
      <c r="J4" s="36" t="s">
        <v>26</v>
      </c>
    </row>
    <row r="5" spans="1:10" ht="13.5" thickBot="1" x14ac:dyDescent="0.25">
      <c r="A5" s="37">
        <v>0</v>
      </c>
      <c r="B5" s="38">
        <v>0</v>
      </c>
      <c r="C5" s="38">
        <v>2</v>
      </c>
      <c r="D5" s="39">
        <f>B5+$J$5*H5</f>
        <v>0.76393202250021042</v>
      </c>
      <c r="E5" s="39">
        <f>B5+$I$5*H5</f>
        <v>1.2360679774997898</v>
      </c>
      <c r="F5" s="38">
        <f>(EXP(D5)-2-D5)^2</f>
        <v>0.38097472505495839</v>
      </c>
      <c r="G5" s="38">
        <f>(EXP(E5)-2-E5)^2</f>
        <v>4.2429661890804049E-2</v>
      </c>
      <c r="H5" s="40">
        <f>C5-B5</f>
        <v>2</v>
      </c>
      <c r="I5" s="27">
        <v>0.6180339887498949</v>
      </c>
      <c r="J5" s="41">
        <v>0.38196601125010521</v>
      </c>
    </row>
    <row r="6" spans="1:10" x14ac:dyDescent="0.2">
      <c r="A6" s="42">
        <v>1</v>
      </c>
      <c r="B6" s="43">
        <f>IF(F5&lt;G5,B5,D5)</f>
        <v>0.76393202250021042</v>
      </c>
      <c r="C6" s="43">
        <f>IF(F5&lt;G5,E5,C5)</f>
        <v>2</v>
      </c>
      <c r="D6" s="43">
        <f>IF(F5&lt;G5,B6+$J$5*H6,E5)</f>
        <v>1.2360679774997898</v>
      </c>
      <c r="E6" s="43">
        <f>IF(F5&lt;G5,D5,B6+$I$5*H6)</f>
        <v>1.5278640450004208</v>
      </c>
      <c r="F6" s="44">
        <f t="shared" ref="F6:G21" si="0">(EXP(D6)-2-D6)^2</f>
        <v>4.2429661890804049E-2</v>
      </c>
      <c r="G6" s="44">
        <f t="shared" si="0"/>
        <v>1.167391838017428</v>
      </c>
      <c r="H6" s="45">
        <f t="shared" ref="H6:H21" si="1">C6-B6</f>
        <v>1.2360679774997896</v>
      </c>
    </row>
    <row r="7" spans="1:10" x14ac:dyDescent="0.2">
      <c r="A7" s="42">
        <v>2</v>
      </c>
      <c r="B7" s="43">
        <f t="shared" ref="B7:B21" si="2">IF(F6&lt;G6,B6,D6)</f>
        <v>0.76393202250021042</v>
      </c>
      <c r="C7" s="43">
        <f t="shared" ref="C7:C21" si="3">IF(F6&lt;G6,E6,C6)</f>
        <v>1.5278640450004208</v>
      </c>
      <c r="D7" s="43">
        <f t="shared" ref="D7:D21" si="4">IF(F6&lt;G6,B7+$J$5*H7,E6)</f>
        <v>1.0557280900008414</v>
      </c>
      <c r="E7" s="43">
        <f t="shared" ref="E7:E21" si="5">IF(F6&lt;G6,D6,B7+$I$5*H7)</f>
        <v>1.2360679774997898</v>
      </c>
      <c r="F7" s="44">
        <f t="shared" si="0"/>
        <v>3.3000761896144634E-2</v>
      </c>
      <c r="G7" s="44">
        <f t="shared" si="0"/>
        <v>4.2429661890804049E-2</v>
      </c>
      <c r="H7" s="45">
        <f t="shared" si="1"/>
        <v>0.76393202250021042</v>
      </c>
    </row>
    <row r="8" spans="1:10" x14ac:dyDescent="0.2">
      <c r="A8" s="42">
        <v>3</v>
      </c>
      <c r="B8" s="43">
        <f t="shared" si="2"/>
        <v>0.76393202250021042</v>
      </c>
      <c r="C8" s="43">
        <f t="shared" si="3"/>
        <v>1.2360679774997898</v>
      </c>
      <c r="D8" s="43">
        <f t="shared" si="4"/>
        <v>0.94427190999915889</v>
      </c>
      <c r="E8" s="43">
        <f t="shared" si="5"/>
        <v>1.0557280900008414</v>
      </c>
      <c r="F8" s="44">
        <f t="shared" si="0"/>
        <v>0.1393761022586392</v>
      </c>
      <c r="G8" s="44">
        <f t="shared" si="0"/>
        <v>3.3000761896144634E-2</v>
      </c>
      <c r="H8" s="45">
        <f t="shared" si="1"/>
        <v>0.47213595499957939</v>
      </c>
    </row>
    <row r="9" spans="1:10" x14ac:dyDescent="0.2">
      <c r="A9" s="42">
        <v>4</v>
      </c>
      <c r="B9" s="43">
        <f t="shared" si="2"/>
        <v>0.94427190999915889</v>
      </c>
      <c r="C9" s="43">
        <f t="shared" si="3"/>
        <v>1.2360679774997898</v>
      </c>
      <c r="D9" s="43">
        <f t="shared" si="4"/>
        <v>1.0557280900008414</v>
      </c>
      <c r="E9" s="43">
        <f t="shared" si="5"/>
        <v>1.1246117974981074</v>
      </c>
      <c r="F9" s="44">
        <f t="shared" si="0"/>
        <v>3.3000761896144634E-2</v>
      </c>
      <c r="G9" s="44">
        <f t="shared" si="0"/>
        <v>2.0784904443050139E-3</v>
      </c>
      <c r="H9" s="45">
        <f t="shared" si="1"/>
        <v>0.29179606750063092</v>
      </c>
    </row>
    <row r="10" spans="1:10" x14ac:dyDescent="0.2">
      <c r="A10" s="42">
        <v>5</v>
      </c>
      <c r="B10" s="43">
        <f t="shared" si="2"/>
        <v>1.0557280900008414</v>
      </c>
      <c r="C10" s="43">
        <f t="shared" si="3"/>
        <v>1.2360679774997898</v>
      </c>
      <c r="D10" s="43">
        <f t="shared" si="4"/>
        <v>1.1246117974981074</v>
      </c>
      <c r="E10" s="43">
        <f t="shared" si="5"/>
        <v>1.1671842700025239</v>
      </c>
      <c r="F10" s="44">
        <f t="shared" si="0"/>
        <v>2.0784904443050139E-3</v>
      </c>
      <c r="G10" s="44">
        <f t="shared" si="0"/>
        <v>2.0929588996426987E-3</v>
      </c>
      <c r="H10" s="45">
        <f t="shared" si="1"/>
        <v>0.18033988749894836</v>
      </c>
    </row>
    <row r="11" spans="1:10" x14ac:dyDescent="0.2">
      <c r="A11" s="42">
        <v>6</v>
      </c>
      <c r="B11" s="43">
        <f t="shared" si="2"/>
        <v>1.0557280900008414</v>
      </c>
      <c r="C11" s="43">
        <f t="shared" si="3"/>
        <v>1.1671842700025239</v>
      </c>
      <c r="D11" s="43">
        <f t="shared" si="4"/>
        <v>1.0983005625052578</v>
      </c>
      <c r="E11" s="43">
        <f t="shared" si="5"/>
        <v>1.1246117974981074</v>
      </c>
      <c r="F11" s="44">
        <f t="shared" si="0"/>
        <v>9.8477033644545197E-3</v>
      </c>
      <c r="G11" s="44">
        <f t="shared" si="0"/>
        <v>2.0784904443050139E-3</v>
      </c>
      <c r="H11" s="45">
        <f t="shared" si="1"/>
        <v>0.11145618000168245</v>
      </c>
    </row>
    <row r="12" spans="1:10" x14ac:dyDescent="0.2">
      <c r="A12" s="42">
        <v>7</v>
      </c>
      <c r="B12" s="43">
        <f t="shared" si="2"/>
        <v>1.0983005625052578</v>
      </c>
      <c r="C12" s="43">
        <f t="shared" si="3"/>
        <v>1.1671842700025239</v>
      </c>
      <c r="D12" s="43">
        <f t="shared" si="4"/>
        <v>1.1246117974981074</v>
      </c>
      <c r="E12" s="43">
        <f t="shared" si="5"/>
        <v>1.1408730350096743</v>
      </c>
      <c r="F12" s="44">
        <f t="shared" si="0"/>
        <v>2.0784904443050139E-3</v>
      </c>
      <c r="G12" s="44">
        <f t="shared" si="0"/>
        <v>1.2936104329017091E-4</v>
      </c>
      <c r="H12" s="45">
        <f t="shared" si="1"/>
        <v>6.8883707497266133E-2</v>
      </c>
    </row>
    <row r="13" spans="1:10" x14ac:dyDescent="0.2">
      <c r="A13" s="42">
        <v>8</v>
      </c>
      <c r="B13" s="43">
        <f t="shared" si="2"/>
        <v>1.1246117974981074</v>
      </c>
      <c r="C13" s="43">
        <f t="shared" si="3"/>
        <v>1.1671842700025239</v>
      </c>
      <c r="D13" s="43">
        <f t="shared" si="4"/>
        <v>1.1408730350096743</v>
      </c>
      <c r="E13" s="43">
        <f t="shared" si="5"/>
        <v>1.1509230324909572</v>
      </c>
      <c r="F13" s="44">
        <f t="shared" si="0"/>
        <v>1.2936104329017091E-4</v>
      </c>
      <c r="G13" s="44">
        <f t="shared" si="0"/>
        <v>1.0376147480085286E-4</v>
      </c>
      <c r="H13" s="45">
        <f t="shared" si="1"/>
        <v>4.2572472504416536E-2</v>
      </c>
    </row>
    <row r="14" spans="1:10" x14ac:dyDescent="0.2">
      <c r="A14" s="42">
        <v>9</v>
      </c>
      <c r="B14" s="43">
        <f t="shared" si="2"/>
        <v>1.1408730350096743</v>
      </c>
      <c r="C14" s="43">
        <f t="shared" si="3"/>
        <v>1.1671842700025239</v>
      </c>
      <c r="D14" s="43">
        <f t="shared" si="4"/>
        <v>1.1509230324909572</v>
      </c>
      <c r="E14" s="43">
        <f t="shared" si="5"/>
        <v>1.157134272521241</v>
      </c>
      <c r="F14" s="44">
        <f t="shared" si="0"/>
        <v>1.0376147480085286E-4</v>
      </c>
      <c r="G14" s="44">
        <f t="shared" si="0"/>
        <v>5.6029778446194036E-4</v>
      </c>
      <c r="H14" s="45">
        <f t="shared" si="1"/>
        <v>2.6311234992849597E-2</v>
      </c>
    </row>
    <row r="15" spans="1:10" x14ac:dyDescent="0.2">
      <c r="A15" s="42">
        <v>10</v>
      </c>
      <c r="B15" s="43">
        <f t="shared" si="2"/>
        <v>1.1408730350096743</v>
      </c>
      <c r="C15" s="43">
        <f t="shared" si="3"/>
        <v>1.157134272521241</v>
      </c>
      <c r="D15" s="43">
        <f t="shared" si="4"/>
        <v>1.1470842750399579</v>
      </c>
      <c r="E15" s="43">
        <f t="shared" si="5"/>
        <v>1.1509230324909572</v>
      </c>
      <c r="F15" s="44">
        <f t="shared" si="0"/>
        <v>3.6619580732804553E-6</v>
      </c>
      <c r="G15" s="44">
        <f t="shared" si="0"/>
        <v>1.0376147480085286E-4</v>
      </c>
      <c r="H15" s="45">
        <f t="shared" si="1"/>
        <v>1.6261237511566717E-2</v>
      </c>
    </row>
    <row r="16" spans="1:10" x14ac:dyDescent="0.2">
      <c r="A16" s="42">
        <v>11</v>
      </c>
      <c r="B16" s="43">
        <f t="shared" si="2"/>
        <v>1.1408730350096743</v>
      </c>
      <c r="C16" s="43">
        <f t="shared" si="3"/>
        <v>1.1509230324909572</v>
      </c>
      <c r="D16" s="43">
        <f t="shared" si="4"/>
        <v>1.1447117924606736</v>
      </c>
      <c r="E16" s="43">
        <f t="shared" si="5"/>
        <v>1.1470842750399579</v>
      </c>
      <c r="F16" s="44">
        <f t="shared" si="0"/>
        <v>1.008685158854267E-5</v>
      </c>
      <c r="G16" s="44">
        <f t="shared" si="0"/>
        <v>3.6619580732804553E-6</v>
      </c>
      <c r="H16" s="45">
        <f t="shared" si="1"/>
        <v>1.004999748128288E-2</v>
      </c>
    </row>
    <row r="17" spans="1:8" x14ac:dyDescent="0.2">
      <c r="A17" s="42">
        <v>12</v>
      </c>
      <c r="B17" s="43">
        <f t="shared" si="2"/>
        <v>1.1447117924606736</v>
      </c>
      <c r="C17" s="43">
        <f t="shared" si="3"/>
        <v>1.1509230324909572</v>
      </c>
      <c r="D17" s="43">
        <f t="shared" si="4"/>
        <v>1.1470842750399579</v>
      </c>
      <c r="E17" s="43">
        <f t="shared" si="5"/>
        <v>1.1485505499116728</v>
      </c>
      <c r="F17" s="44">
        <f t="shared" si="0"/>
        <v>3.6619580732804553E-6</v>
      </c>
      <c r="G17" s="44">
        <f t="shared" si="0"/>
        <v>2.568495561475166E-5</v>
      </c>
      <c r="H17" s="45">
        <f t="shared" si="1"/>
        <v>6.2112400302836157E-3</v>
      </c>
    </row>
    <row r="18" spans="1:8" x14ac:dyDescent="0.2">
      <c r="A18" s="42">
        <v>13</v>
      </c>
      <c r="B18" s="43">
        <f t="shared" si="2"/>
        <v>1.1447117924606736</v>
      </c>
      <c r="C18" s="43">
        <f t="shared" si="3"/>
        <v>1.1485505499116728</v>
      </c>
      <c r="D18" s="43">
        <f t="shared" si="4"/>
        <v>1.1461780673323885</v>
      </c>
      <c r="E18" s="43">
        <f t="shared" si="5"/>
        <v>1.1470842750399579</v>
      </c>
      <c r="F18" s="44">
        <f t="shared" si="0"/>
        <v>1.0576494697022041E-9</v>
      </c>
      <c r="G18" s="44">
        <f t="shared" si="0"/>
        <v>3.6619580732804553E-6</v>
      </c>
      <c r="H18" s="45">
        <f t="shared" si="1"/>
        <v>3.8387574509992639E-3</v>
      </c>
    </row>
    <row r="19" spans="1:8" x14ac:dyDescent="0.2">
      <c r="A19" s="42">
        <v>14</v>
      </c>
      <c r="B19" s="43">
        <f t="shared" si="2"/>
        <v>1.1447117924606736</v>
      </c>
      <c r="C19" s="43">
        <f t="shared" si="3"/>
        <v>1.1470842750399579</v>
      </c>
      <c r="D19" s="43">
        <f t="shared" si="4"/>
        <v>1.1456180001682432</v>
      </c>
      <c r="E19" s="43">
        <f t="shared" si="5"/>
        <v>1.1461780673323885</v>
      </c>
      <c r="F19" s="44">
        <f t="shared" si="0"/>
        <v>1.522790135112099E-6</v>
      </c>
      <c r="G19" s="44">
        <f t="shared" si="0"/>
        <v>1.0576494697022041E-9</v>
      </c>
      <c r="H19" s="45">
        <f t="shared" si="1"/>
        <v>2.3724825792843518E-3</v>
      </c>
    </row>
    <row r="20" spans="1:8" x14ac:dyDescent="0.2">
      <c r="A20" s="42">
        <v>15</v>
      </c>
      <c r="B20" s="43">
        <f t="shared" si="2"/>
        <v>1.1456180001682432</v>
      </c>
      <c r="C20" s="43">
        <f t="shared" si="3"/>
        <v>1.1470842750399579</v>
      </c>
      <c r="D20" s="43">
        <f t="shared" si="4"/>
        <v>1.1461780673323885</v>
      </c>
      <c r="E20" s="43">
        <f t="shared" si="5"/>
        <v>1.1465242078758129</v>
      </c>
      <c r="F20" s="44">
        <f t="shared" si="0"/>
        <v>1.0576494697022041E-9</v>
      </c>
      <c r="G20" s="44">
        <f t="shared" si="0"/>
        <v>5.0485992805765228E-7</v>
      </c>
      <c r="H20" s="45">
        <f t="shared" si="1"/>
        <v>1.4662748717146901E-3</v>
      </c>
    </row>
    <row r="21" spans="1:8" ht="13.5" thickBot="1" x14ac:dyDescent="0.25">
      <c r="A21" s="46">
        <v>16</v>
      </c>
      <c r="B21" s="47">
        <f t="shared" si="2"/>
        <v>1.1456180001682432</v>
      </c>
      <c r="C21" s="47">
        <f t="shared" si="3"/>
        <v>1.1465242078758129</v>
      </c>
      <c r="D21" s="47">
        <f t="shared" si="4"/>
        <v>1.1459641407116676</v>
      </c>
      <c r="E21" s="47">
        <f t="shared" si="5"/>
        <v>1.1461780673323885</v>
      </c>
      <c r="F21" s="48">
        <f t="shared" si="0"/>
        <v>2.4163831354645431E-7</v>
      </c>
      <c r="G21" s="48">
        <f t="shared" si="0"/>
        <v>1.0576494697022041E-9</v>
      </c>
      <c r="H21" s="49">
        <f t="shared" si="1"/>
        <v>9.0620770756966174E-4</v>
      </c>
    </row>
  </sheetData>
  <phoneticPr fontId="2" type="noConversion"/>
  <pageMargins left="0.75" right="0.75" top="1" bottom="1" header="0.5" footer="0.5"/>
  <pageSetup paperSize="9" orientation="portrait" horizontalDpi="200" verticalDpi="20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3"/>
  <dimension ref="A1:L33"/>
  <sheetViews>
    <sheetView tabSelected="1" zoomScaleNormal="100" workbookViewId="0">
      <selection activeCell="D28" sqref="D28"/>
    </sheetView>
  </sheetViews>
  <sheetFormatPr defaultRowHeight="12.75" x14ac:dyDescent="0.2"/>
  <cols>
    <col min="1" max="1" width="4.85546875" customWidth="1"/>
    <col min="2" max="2" width="8" bestFit="1" customWidth="1"/>
    <col min="3" max="3" width="12.7109375" bestFit="1" customWidth="1"/>
    <col min="4" max="4" width="12" customWidth="1"/>
    <col min="5" max="5" width="6.42578125" bestFit="1" customWidth="1"/>
    <col min="6" max="6" width="12" bestFit="1" customWidth="1"/>
    <col min="7" max="7" width="9" bestFit="1" customWidth="1"/>
    <col min="8" max="8" width="6.42578125" bestFit="1" customWidth="1"/>
    <col min="9" max="10" width="12.42578125" bestFit="1" customWidth="1"/>
  </cols>
  <sheetData>
    <row r="1" spans="1:12" ht="29.25" customHeight="1" x14ac:dyDescent="0.25">
      <c r="A1" s="147" t="s">
        <v>71</v>
      </c>
      <c r="B1" s="148"/>
      <c r="C1" s="148"/>
      <c r="D1" s="148"/>
      <c r="E1" s="147" t="s">
        <v>72</v>
      </c>
      <c r="F1" s="148"/>
      <c r="G1" s="148"/>
      <c r="H1" s="148"/>
      <c r="I1" s="148"/>
      <c r="J1" s="151"/>
      <c r="K1" s="88"/>
      <c r="L1">
        <v>1</v>
      </c>
    </row>
    <row r="2" spans="1:12" ht="18.75" customHeight="1" thickBot="1" x14ac:dyDescent="0.3">
      <c r="A2" s="149"/>
      <c r="B2" s="150"/>
      <c r="C2" s="150"/>
      <c r="D2" s="150"/>
      <c r="E2" s="149"/>
      <c r="F2" s="150"/>
      <c r="G2" s="150"/>
      <c r="H2" s="150"/>
      <c r="I2" s="150"/>
      <c r="J2" s="152"/>
      <c r="K2" s="88"/>
    </row>
    <row r="3" spans="1:12" ht="70.5" customHeight="1" thickBot="1" x14ac:dyDescent="0.3">
      <c r="A3" s="89" t="s">
        <v>1</v>
      </c>
      <c r="B3" s="90" t="s">
        <v>63</v>
      </c>
      <c r="C3" s="90" t="s">
        <v>64</v>
      </c>
      <c r="D3" s="90" t="s">
        <v>65</v>
      </c>
      <c r="E3" s="91" t="s">
        <v>66</v>
      </c>
      <c r="F3" s="91" t="s">
        <v>67</v>
      </c>
      <c r="G3" s="92" t="s">
        <v>68</v>
      </c>
      <c r="H3" s="93" t="s">
        <v>69</v>
      </c>
      <c r="I3" s="92" t="s">
        <v>68</v>
      </c>
      <c r="J3" s="92" t="s">
        <v>70</v>
      </c>
    </row>
    <row r="4" spans="1:12" ht="13.5" thickBot="1" x14ac:dyDescent="0.25">
      <c r="A4" s="86">
        <v>1</v>
      </c>
      <c r="B4" s="87">
        <f ca="1">IF(A4=sheet4!$H$8,sheet4!$K$10,B4)</f>
        <v>38196610105.376297</v>
      </c>
      <c r="C4" s="87">
        <f ca="1">ABS($F$4-B4)</f>
        <v>38196601125.010521</v>
      </c>
      <c r="D4" s="102"/>
      <c r="E4" s="101">
        <f>INDEX(H4:H24,L1)</f>
        <v>1</v>
      </c>
      <c r="F4" s="94">
        <f>sheet1!I6</f>
        <v>8980.3657737185094</v>
      </c>
      <c r="G4" s="95">
        <f ca="1">ABS((D23-D22)/D23)</f>
        <v>1.0778271533617281E-15</v>
      </c>
      <c r="H4" s="96">
        <v>1</v>
      </c>
      <c r="I4" s="97">
        <f ca="1">IF($E$4=H4,$G$4,I4)</f>
        <v>1.0778271533617281E-15</v>
      </c>
      <c r="J4" s="98">
        <f ca="1">MIN(I4:I24)</f>
        <v>1.0778271533617281E-15</v>
      </c>
    </row>
    <row r="5" spans="1:12" x14ac:dyDescent="0.2">
      <c r="A5" s="3">
        <v>2</v>
      </c>
      <c r="B5" s="1">
        <f ca="1">IF(A5=sheet4!$H$8,sheet4!$K$10,B5)</f>
        <v>23606806730.344746</v>
      </c>
      <c r="C5" s="1">
        <f t="shared" ref="C5:C23" ca="1" si="0">ABS($F$4-B5)</f>
        <v>23606797749.978973</v>
      </c>
      <c r="D5" s="4">
        <f t="shared" ref="D5:D23" ca="1" si="1">C5/C4^$E$4</f>
        <v>0.6180339887498949</v>
      </c>
      <c r="H5" s="99">
        <v>1.05</v>
      </c>
      <c r="I5" s="4">
        <f t="shared" ref="I5:I24" ca="1" si="2">IF($E$4=H5,$G$4,I5)</f>
        <v>2.3773442824428261E-2</v>
      </c>
    </row>
    <row r="6" spans="1:12" x14ac:dyDescent="0.2">
      <c r="A6" s="3">
        <v>3</v>
      </c>
      <c r="B6" s="1">
        <f ca="1">IF(A6=sheet4!$H$8,sheet4!$K$10,B6)</f>
        <v>14589812355.397324</v>
      </c>
      <c r="C6" s="1">
        <f t="shared" ca="1" si="0"/>
        <v>14589803375.031549</v>
      </c>
      <c r="D6" s="4">
        <f t="shared" ca="1" si="1"/>
        <v>0.6180339887498949</v>
      </c>
      <c r="H6" s="99">
        <v>1.1000000000000001</v>
      </c>
      <c r="I6" s="4">
        <f t="shared" ca="1" si="2"/>
        <v>1.3417693537105066E-9</v>
      </c>
    </row>
    <row r="7" spans="1:12" x14ac:dyDescent="0.2">
      <c r="A7" s="3">
        <v>4</v>
      </c>
      <c r="B7" s="1">
        <f ca="1">IF(A7=sheet4!$H$8,sheet4!$K$10,B7)</f>
        <v>9017003355.3132019</v>
      </c>
      <c r="C7" s="1">
        <f t="shared" ca="1" si="0"/>
        <v>9016994374.9474277</v>
      </c>
      <c r="D7" s="4">
        <f t="shared" ca="1" si="1"/>
        <v>0.6180339887498949</v>
      </c>
      <c r="H7" s="99">
        <v>1.1499999999999999</v>
      </c>
      <c r="I7" s="4">
        <f t="shared" ca="1" si="2"/>
        <v>6.9638234915304562E-2</v>
      </c>
    </row>
    <row r="8" spans="1:12" x14ac:dyDescent="0.2">
      <c r="A8" s="3">
        <v>5</v>
      </c>
      <c r="B8" s="1">
        <f ca="1">IF(A8=sheet4!$H$8,sheet4!$K$10,B8)</f>
        <v>5572817980.4498978</v>
      </c>
      <c r="C8" s="1">
        <f t="shared" ca="1" si="0"/>
        <v>5572809000.0841236</v>
      </c>
      <c r="D8" s="4">
        <f t="shared" ca="1" si="1"/>
        <v>0.61803398874989479</v>
      </c>
      <c r="H8" s="99">
        <v>1.2</v>
      </c>
      <c r="I8" s="4">
        <f t="shared" ca="1" si="2"/>
        <v>9.1756137143582994E-2</v>
      </c>
    </row>
    <row r="9" spans="1:12" x14ac:dyDescent="0.2">
      <c r="A9" s="3">
        <v>6</v>
      </c>
      <c r="B9" s="1">
        <f ca="1">IF(A9=sheet4!$H$8,sheet4!$K$10,B9)</f>
        <v>3444194355.2290783</v>
      </c>
      <c r="C9" s="1">
        <f t="shared" ca="1" si="0"/>
        <v>3444185374.8633046</v>
      </c>
      <c r="D9" s="4">
        <f t="shared" ca="1" si="1"/>
        <v>0.6180339887498949</v>
      </c>
      <c r="H9" s="99">
        <v>1.25</v>
      </c>
      <c r="I9" s="4">
        <f t="shared" ca="1" si="2"/>
        <v>1.7593641542963638E-9</v>
      </c>
    </row>
    <row r="10" spans="1:12" x14ac:dyDescent="0.2">
      <c r="A10" s="3">
        <v>7</v>
      </c>
      <c r="B10" s="1">
        <f ca="1">IF(A10=sheet4!$H$8,sheet4!$K$10,B10)</f>
        <v>2128632605.5865936</v>
      </c>
      <c r="C10" s="1">
        <f t="shared" ca="1" si="0"/>
        <v>2128623625.22082</v>
      </c>
      <c r="D10" s="4">
        <f t="shared" ca="1" si="1"/>
        <v>0.61803398874989479</v>
      </c>
      <c r="H10" s="99">
        <v>1.3</v>
      </c>
      <c r="I10" s="4">
        <f t="shared" ca="1" si="2"/>
        <v>0.13442698606849593</v>
      </c>
    </row>
    <row r="11" spans="1:12" x14ac:dyDescent="0.2">
      <c r="A11" s="3">
        <v>8</v>
      </c>
      <c r="B11" s="1">
        <f ca="1">IF(A11=sheet4!$H$8,sheet4!$K$10,B11)</f>
        <v>1315570730.0082586</v>
      </c>
      <c r="C11" s="1">
        <f t="shared" ca="1" si="0"/>
        <v>1315561749.6424849</v>
      </c>
      <c r="D11" s="4">
        <f t="shared" ca="1" si="1"/>
        <v>0.61803398874989501</v>
      </c>
      <c r="H11" s="99">
        <v>1.35</v>
      </c>
      <c r="I11" s="4">
        <f t="shared" ca="1" si="2"/>
        <v>2.0377583443135399E-9</v>
      </c>
    </row>
    <row r="12" spans="1:12" x14ac:dyDescent="0.2">
      <c r="A12" s="3">
        <v>9</v>
      </c>
      <c r="B12" s="1">
        <f ca="1">IF(A12=sheet4!$H$8,sheet4!$K$10,B12)</f>
        <v>813070855.94410908</v>
      </c>
      <c r="C12" s="1">
        <f t="shared" ca="1" si="0"/>
        <v>813061875.5783354</v>
      </c>
      <c r="D12" s="4">
        <f t="shared" ca="1" si="1"/>
        <v>0.61803398874989479</v>
      </c>
      <c r="H12" s="99">
        <v>1.4</v>
      </c>
      <c r="I12" s="4">
        <f t="shared" ca="1" si="2"/>
        <v>0.17509308558365377</v>
      </c>
    </row>
    <row r="13" spans="1:12" x14ac:dyDescent="0.2">
      <c r="A13" s="3">
        <v>10</v>
      </c>
      <c r="B13" s="1">
        <f ca="1">IF(A13=sheet4!$H$8,sheet4!$K$10,B13)</f>
        <v>502508854.42992324</v>
      </c>
      <c r="C13" s="1">
        <f t="shared" ca="1" si="0"/>
        <v>502499874.0641495</v>
      </c>
      <c r="D13" s="4">
        <f t="shared" ca="1" si="1"/>
        <v>0.61803398874989501</v>
      </c>
      <c r="H13" s="99">
        <v>1.45</v>
      </c>
      <c r="I13" s="4">
        <f t="shared" ca="1" si="2"/>
        <v>0.19470396294900616</v>
      </c>
    </row>
    <row r="14" spans="1:12" x14ac:dyDescent="0.2">
      <c r="A14" s="3">
        <v>11</v>
      </c>
      <c r="B14" s="1">
        <f ca="1">IF(A14=sheet4!$H$8,sheet4!$K$10,B14)</f>
        <v>310570981.87995982</v>
      </c>
      <c r="C14" s="1">
        <f t="shared" ca="1" si="0"/>
        <v>310562001.51418608</v>
      </c>
      <c r="D14" s="4">
        <f t="shared" ca="1" si="1"/>
        <v>0.61803398874989468</v>
      </c>
      <c r="H14" s="99">
        <v>1.5</v>
      </c>
      <c r="I14" s="4">
        <f t="shared" ca="1" si="2"/>
        <v>0.21384862224257656</v>
      </c>
    </row>
    <row r="15" spans="1:12" x14ac:dyDescent="0.2">
      <c r="A15" s="3">
        <v>12</v>
      </c>
      <c r="B15" s="1">
        <f ca="1">IF(A15=sheet4!$H$8,sheet4!$K$10,B15)</f>
        <v>191946852.91573709</v>
      </c>
      <c r="C15" s="1">
        <f t="shared" ca="1" si="0"/>
        <v>191937872.54996338</v>
      </c>
      <c r="D15" s="4">
        <f t="shared" ca="1" si="1"/>
        <v>0.61803398874989512</v>
      </c>
      <c r="H15" s="99">
        <v>1.55</v>
      </c>
      <c r="I15" s="4">
        <f t="shared" ca="1" si="2"/>
        <v>0.2325381470730381</v>
      </c>
    </row>
    <row r="16" spans="1:12" x14ac:dyDescent="0.2">
      <c r="A16" s="3">
        <v>13</v>
      </c>
      <c r="B16" s="1">
        <f ca="1">IF(A16=sheet4!$H$8,sheet4!$K$10,B16)</f>
        <v>118633109.32999651</v>
      </c>
      <c r="C16" s="1">
        <f t="shared" ca="1" si="0"/>
        <v>118624128.96422279</v>
      </c>
      <c r="D16" s="4">
        <f t="shared" ca="1" si="1"/>
        <v>0.61803398874989468</v>
      </c>
      <c r="H16" s="99">
        <v>1.6</v>
      </c>
      <c r="I16" s="4">
        <f t="shared" ca="1" si="2"/>
        <v>0.25078335755352693</v>
      </c>
    </row>
    <row r="17" spans="1:11" x14ac:dyDescent="0.2">
      <c r="A17" s="3">
        <v>14</v>
      </c>
      <c r="B17" s="1">
        <f ca="1">IF(A17=sheet4!$H$8,sheet4!$K$10,B17)</f>
        <v>73322723.951514304</v>
      </c>
      <c r="C17" s="1">
        <f t="shared" ca="1" si="0"/>
        <v>73313743.585740581</v>
      </c>
      <c r="D17" s="4">
        <f t="shared" ca="1" si="1"/>
        <v>0.61803398874989512</v>
      </c>
      <c r="H17" s="99">
        <v>1.65</v>
      </c>
      <c r="I17" s="4">
        <f t="shared" ca="1" si="2"/>
        <v>0.26859481656584094</v>
      </c>
    </row>
    <row r="18" spans="1:11" x14ac:dyDescent="0.2">
      <c r="A18" s="3">
        <v>15</v>
      </c>
      <c r="B18" s="1">
        <f ca="1">IF(A18=sheet4!$H$8,sheet4!$K$10,B18)</f>
        <v>45319365.744255967</v>
      </c>
      <c r="C18" s="1">
        <f t="shared" ca="1" si="0"/>
        <v>45310385.378482252</v>
      </c>
      <c r="D18" s="4">
        <f t="shared" ca="1" si="1"/>
        <v>0.61803398874989457</v>
      </c>
      <c r="H18" s="99">
        <v>1.7</v>
      </c>
      <c r="I18" s="4">
        <f t="shared" ca="1" si="2"/>
        <v>0.28598283587570072</v>
      </c>
    </row>
    <row r="19" spans="1:11" x14ac:dyDescent="0.2">
      <c r="A19" s="3">
        <v>16</v>
      </c>
      <c r="B19" s="1">
        <f ca="1">IF(A19=sheet4!$H$8,sheet4!$K$10,B19)</f>
        <v>28012338.573032033</v>
      </c>
      <c r="C19" s="1">
        <f t="shared" ca="1" si="0"/>
        <v>28003358.207258314</v>
      </c>
      <c r="D19" s="4">
        <f t="shared" ca="1" si="1"/>
        <v>0.61803398874989512</v>
      </c>
      <c r="H19" s="99">
        <v>1.75</v>
      </c>
      <c r="I19" s="4">
        <f t="shared" ca="1" si="2"/>
        <v>0.30295748210267265</v>
      </c>
    </row>
    <row r="20" spans="1:11" x14ac:dyDescent="0.2">
      <c r="A20" s="3">
        <v>17</v>
      </c>
      <c r="B20" s="1">
        <f ca="1">IF(A20=sheet4!$H$8,sheet4!$K$10,B20)</f>
        <v>17316007.536997672</v>
      </c>
      <c r="C20" s="1">
        <f t="shared" ca="1" si="0"/>
        <v>17307027.171223953</v>
      </c>
      <c r="D20" s="4">
        <f t="shared" ca="1" si="1"/>
        <v>0.61803398874989457</v>
      </c>
      <c r="H20" s="99">
        <v>1.8</v>
      </c>
      <c r="I20" s="4">
        <f t="shared" ca="1" si="2"/>
        <v>0.31952858254810007</v>
      </c>
    </row>
    <row r="21" spans="1:11" x14ac:dyDescent="0.2">
      <c r="A21" s="3">
        <v>18</v>
      </c>
      <c r="B21" s="1">
        <f ca="1">IF(A21=sheet4!$H$8,sheet4!$K$10,B21)</f>
        <v>10705311.401808074</v>
      </c>
      <c r="C21" s="1">
        <f t="shared" ca="1" si="0"/>
        <v>10696331.036034355</v>
      </c>
      <c r="D21" s="4">
        <f t="shared" ca="1" si="1"/>
        <v>0.61803398874989512</v>
      </c>
      <c r="H21" s="99">
        <v>1.85</v>
      </c>
      <c r="I21" s="4">
        <f t="shared" ca="1" si="2"/>
        <v>0.33570573088455286</v>
      </c>
    </row>
    <row r="22" spans="1:11" x14ac:dyDescent="0.2">
      <c r="A22" s="3">
        <v>19</v>
      </c>
      <c r="B22" s="1">
        <f ca="1">IF(A22=sheet4!$H$8,sheet4!$K$10,B22)</f>
        <v>6619676.5009633237</v>
      </c>
      <c r="C22" s="1">
        <f t="shared" ca="1" si="0"/>
        <v>6610696.1351896049</v>
      </c>
      <c r="D22" s="4">
        <f t="shared" ca="1" si="1"/>
        <v>0.61803398874989457</v>
      </c>
      <c r="H22" s="99">
        <v>1.9</v>
      </c>
      <c r="I22" s="4">
        <f t="shared" ca="1" si="2"/>
        <v>0.35149829270996208</v>
      </c>
    </row>
    <row r="23" spans="1:11" ht="13.5" thickBot="1" x14ac:dyDescent="0.25">
      <c r="A23" s="50">
        <v>20</v>
      </c>
      <c r="B23" s="5">
        <f ca="1">IF(A23=sheet4!$H$8,sheet4!$K$10,B23)</f>
        <v>4094615.2666184665</v>
      </c>
      <c r="C23" s="5">
        <f t="shared" ca="1" si="0"/>
        <v>4085634.9008447481</v>
      </c>
      <c r="D23" s="6">
        <f t="shared" ca="1" si="1"/>
        <v>0.61803398874989524</v>
      </c>
      <c r="H23" s="99">
        <v>1.95</v>
      </c>
      <c r="I23" s="4">
        <f t="shared" ca="1" si="2"/>
        <v>0.3669154109697681</v>
      </c>
    </row>
    <row r="24" spans="1:11" ht="13.5" thickBot="1" x14ac:dyDescent="0.25">
      <c r="H24" s="100">
        <v>2</v>
      </c>
      <c r="I24" s="6">
        <f t="shared" ca="1" si="2"/>
        <v>0.38196601125010604</v>
      </c>
    </row>
    <row r="26" spans="1:11" ht="12.75" customHeight="1" x14ac:dyDescent="0.2">
      <c r="D26" s="7"/>
      <c r="G26" s="146" t="s">
        <v>98</v>
      </c>
      <c r="H26" s="146"/>
      <c r="I26" s="146"/>
      <c r="J26" s="146"/>
      <c r="K26" s="146"/>
    </row>
    <row r="27" spans="1:11" ht="12.75" customHeight="1" x14ac:dyDescent="0.2">
      <c r="G27" s="146"/>
      <c r="H27" s="146"/>
      <c r="I27" s="146"/>
      <c r="J27" s="146"/>
      <c r="K27" s="146"/>
    </row>
    <row r="28" spans="1:11" ht="12.75" customHeight="1" x14ac:dyDescent="0.2">
      <c r="G28" s="146"/>
      <c r="H28" s="146"/>
      <c r="I28" s="146"/>
      <c r="J28" s="146"/>
      <c r="K28" s="146"/>
    </row>
    <row r="29" spans="1:11" ht="12.75" customHeight="1" x14ac:dyDescent="0.2">
      <c r="G29" s="146"/>
      <c r="H29" s="146"/>
      <c r="I29" s="146"/>
      <c r="J29" s="146"/>
      <c r="K29" s="146"/>
    </row>
    <row r="30" spans="1:11" ht="12.75" customHeight="1" x14ac:dyDescent="0.2">
      <c r="G30" s="146"/>
      <c r="H30" s="146"/>
      <c r="I30" s="146"/>
      <c r="J30" s="146"/>
      <c r="K30" s="146"/>
    </row>
    <row r="31" spans="1:11" ht="13.5" customHeight="1" x14ac:dyDescent="0.2">
      <c r="G31" s="146"/>
      <c r="H31" s="146"/>
      <c r="I31" s="146"/>
      <c r="J31" s="146"/>
      <c r="K31" s="146"/>
    </row>
    <row r="32" spans="1:11" ht="12.75" customHeight="1" x14ac:dyDescent="0.2">
      <c r="G32" s="146"/>
      <c r="H32" s="146"/>
      <c r="I32" s="146"/>
      <c r="J32" s="146"/>
      <c r="K32" s="146"/>
    </row>
    <row r="33" spans="7:11" ht="12.75" customHeight="1" x14ac:dyDescent="0.2">
      <c r="G33" s="146"/>
      <c r="H33" s="146"/>
      <c r="I33" s="146"/>
      <c r="J33" s="146"/>
      <c r="K33" s="146"/>
    </row>
  </sheetData>
  <mergeCells count="3">
    <mergeCell ref="G26:K33"/>
    <mergeCell ref="A1:D2"/>
    <mergeCell ref="E1:J2"/>
  </mergeCells>
  <phoneticPr fontId="2" type="noConversion"/>
  <conditionalFormatting sqref="H4:H24 I5:I24">
    <cfRule type="expression" dxfId="8" priority="1" stopIfTrue="1">
      <formula>$J$4=$I4</formula>
    </cfRule>
  </conditionalFormatting>
  <conditionalFormatting sqref="I4">
    <cfRule type="expression" dxfId="7" priority="2" stopIfTrue="1">
      <formula>$J$4=$I4</formula>
    </cfRule>
  </conditionalFormatting>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73" r:id="rId3" name="List Box 25">
              <controlPr defaultSize="0" autoLine="0" autoPict="0">
                <anchor moveWithCells="1">
                  <from>
                    <xdr:col>4</xdr:col>
                    <xdr:colOff>57150</xdr:colOff>
                    <xdr:row>5</xdr:row>
                    <xdr:rowOff>0</xdr:rowOff>
                  </from>
                  <to>
                    <xdr:col>5</xdr:col>
                    <xdr:colOff>161925</xdr:colOff>
                    <xdr:row>21</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4"/>
  <dimension ref="A1:AC117"/>
  <sheetViews>
    <sheetView zoomScale="70" zoomScaleNormal="70" workbookViewId="0">
      <selection activeCell="I7" sqref="I7"/>
    </sheetView>
  </sheetViews>
  <sheetFormatPr defaultRowHeight="12.75" x14ac:dyDescent="0.2"/>
  <cols>
    <col min="1" max="1" width="5.85546875" style="11" customWidth="1"/>
    <col min="2" max="3" width="8.5703125" style="11" customWidth="1"/>
    <col min="4" max="4" width="7" style="11" customWidth="1"/>
    <col min="5" max="5" width="6.7109375" style="11" customWidth="1"/>
    <col min="6" max="6" width="8.5703125" style="11" customWidth="1"/>
    <col min="7" max="7" width="11.85546875" style="11" customWidth="1"/>
    <col min="8" max="8" width="12.7109375" style="11" customWidth="1"/>
    <col min="9" max="9" width="23.140625" style="11" customWidth="1"/>
    <col min="10" max="10" width="10.140625" style="11" customWidth="1"/>
    <col min="11" max="11" width="12.28515625" style="11" customWidth="1"/>
    <col min="12" max="12" width="12" style="11" customWidth="1"/>
    <col min="13" max="13" width="9.28515625" style="11" customWidth="1"/>
    <col min="14" max="14" width="9.140625" style="11"/>
    <col min="15" max="15" width="20.140625" style="11" customWidth="1"/>
    <col min="16" max="16384" width="9.140625" style="11"/>
  </cols>
  <sheetData>
    <row r="1" spans="1:29" ht="18.75" x14ac:dyDescent="0.3">
      <c r="A1" s="23" t="s">
        <v>16</v>
      </c>
      <c r="B1" s="10"/>
      <c r="C1" s="10"/>
      <c r="D1" s="10"/>
      <c r="E1" s="10"/>
      <c r="F1" s="10"/>
      <c r="G1" s="10"/>
      <c r="H1" s="10"/>
      <c r="I1" s="10"/>
      <c r="J1" s="10"/>
      <c r="K1" s="10"/>
      <c r="L1" s="8"/>
      <c r="M1" s="8"/>
      <c r="N1" s="8"/>
    </row>
    <row r="2" spans="1:29" x14ac:dyDescent="0.2">
      <c r="A2" s="10" t="s">
        <v>8</v>
      </c>
      <c r="B2" s="10"/>
      <c r="C2" s="10"/>
      <c r="D2" s="10"/>
      <c r="E2" s="10"/>
      <c r="F2" s="10"/>
      <c r="G2" s="10"/>
      <c r="H2" s="10"/>
      <c r="I2" s="10"/>
      <c r="J2" s="10"/>
      <c r="K2" s="10"/>
      <c r="L2" s="8"/>
      <c r="M2" s="8"/>
      <c r="N2" s="8"/>
    </row>
    <row r="3" spans="1:29" x14ac:dyDescent="0.2">
      <c r="A3" s="10" t="s">
        <v>9</v>
      </c>
      <c r="B3" s="10"/>
      <c r="C3" s="10"/>
      <c r="D3" s="10"/>
      <c r="E3" s="10"/>
      <c r="F3" s="10"/>
      <c r="G3" s="10"/>
      <c r="H3" s="10"/>
      <c r="I3" s="10"/>
      <c r="J3" s="10"/>
      <c r="K3" s="10"/>
      <c r="L3" s="8"/>
      <c r="M3" s="8"/>
      <c r="N3" s="8"/>
    </row>
    <row r="4" spans="1:29" ht="25.5" customHeight="1" x14ac:dyDescent="0.2"/>
    <row r="5" spans="1:29" ht="43.5" customHeight="1" thickBot="1" x14ac:dyDescent="0.25">
      <c r="G5" s="10" t="s">
        <v>12</v>
      </c>
      <c r="H5" s="10"/>
      <c r="I5" s="58" t="s">
        <v>15</v>
      </c>
      <c r="J5" s="59" t="s">
        <v>25</v>
      </c>
      <c r="K5" s="59" t="s">
        <v>26</v>
      </c>
      <c r="L5" s="60" t="s">
        <v>14</v>
      </c>
    </row>
    <row r="6" spans="1:29" ht="17.25" customHeight="1" thickBot="1" x14ac:dyDescent="0.25">
      <c r="A6" s="24" t="s">
        <v>17</v>
      </c>
      <c r="B6" s="12"/>
      <c r="C6" s="12"/>
      <c r="D6" s="12"/>
      <c r="E6" s="12"/>
      <c r="F6" s="12"/>
      <c r="G6" s="12" t="s">
        <v>13</v>
      </c>
      <c r="H6" s="12">
        <v>2</v>
      </c>
      <c r="I6" s="20">
        <f>INDEX(O7:O19,P6)</f>
        <v>1.0000000000000014E-13</v>
      </c>
      <c r="J6" s="62">
        <v>0.6180339887498949</v>
      </c>
      <c r="K6" s="63">
        <v>0.38196601125010521</v>
      </c>
      <c r="L6" s="64">
        <f>sheet1!B6/(1+sheet1!C6)^(2*sheet1!E6)</f>
        <v>6.0778247591187063E+34</v>
      </c>
      <c r="M6" s="61"/>
      <c r="N6" s="9"/>
      <c r="O6" s="126" t="s">
        <v>10</v>
      </c>
      <c r="P6" s="11">
        <v>13</v>
      </c>
    </row>
    <row r="7" spans="1:29" ht="16.5" customHeight="1" x14ac:dyDescent="0.2">
      <c r="A7" s="168" t="s">
        <v>27</v>
      </c>
      <c r="B7" s="169"/>
      <c r="C7" s="169"/>
      <c r="D7" s="169"/>
      <c r="E7" s="169"/>
      <c r="F7" s="169"/>
      <c r="G7" s="170"/>
      <c r="H7" s="13">
        <f>sheet1!I6</f>
        <v>8980.3657737185094</v>
      </c>
      <c r="I7" s="19">
        <f>H7+sheet5!H28</f>
        <v>100000008980.36577</v>
      </c>
      <c r="J7" s="21"/>
      <c r="K7" s="21"/>
      <c r="L7" s="14"/>
      <c r="M7" s="14"/>
      <c r="N7" s="122"/>
      <c r="O7" s="127">
        <v>0.1</v>
      </c>
    </row>
    <row r="8" spans="1:29" x14ac:dyDescent="0.2">
      <c r="A8" s="153" t="s">
        <v>28</v>
      </c>
      <c r="B8" s="154"/>
      <c r="C8" s="154"/>
      <c r="D8" s="154"/>
      <c r="E8" s="154"/>
      <c r="F8" s="154"/>
      <c r="G8" s="155"/>
      <c r="H8" s="28">
        <f ca="1">IF(H6=1,0,H8+1)</f>
        <v>8400</v>
      </c>
      <c r="I8" s="15"/>
      <c r="J8" s="15"/>
      <c r="K8" s="15"/>
      <c r="L8" s="15"/>
      <c r="M8" s="16"/>
      <c r="N8" s="123"/>
      <c r="O8" s="127">
        <v>0.01</v>
      </c>
    </row>
    <row r="9" spans="1:29" x14ac:dyDescent="0.2">
      <c r="A9" s="171" t="s">
        <v>36</v>
      </c>
      <c r="B9" s="172"/>
      <c r="C9" s="172"/>
      <c r="D9" s="172"/>
      <c r="E9" s="172"/>
      <c r="F9" s="172"/>
      <c r="G9" s="173"/>
      <c r="H9" s="25" t="s">
        <v>18</v>
      </c>
      <c r="I9" s="26" t="s">
        <v>19</v>
      </c>
      <c r="J9" s="26" t="s">
        <v>20</v>
      </c>
      <c r="K9" s="26" t="s">
        <v>21</v>
      </c>
      <c r="L9" s="26" t="s">
        <v>22</v>
      </c>
      <c r="M9" s="26" t="s">
        <v>23</v>
      </c>
      <c r="N9" s="124" t="s">
        <v>24</v>
      </c>
      <c r="O9" s="127">
        <v>1.0000000000000002E-3</v>
      </c>
    </row>
    <row r="10" spans="1:29" ht="14.25" x14ac:dyDescent="0.2">
      <c r="A10" s="153" t="s">
        <v>29</v>
      </c>
      <c r="B10" s="154"/>
      <c r="C10" s="154"/>
      <c r="D10" s="154"/>
      <c r="E10" s="154"/>
      <c r="F10" s="154"/>
      <c r="G10" s="155"/>
      <c r="H10" s="28">
        <f ca="1">IF($H$8=0,H7,H12)</f>
        <v>8980.3658634389758</v>
      </c>
      <c r="I10" s="29">
        <f ca="1">IF($H$8=0,I7,I12)</f>
        <v>8980.3658634389776</v>
      </c>
      <c r="J10" s="29">
        <f ca="1">IF($H$8=0,$H$10+$K$6*($I$10-$H$10),J12)</f>
        <v>8980.3658634389758</v>
      </c>
      <c r="K10" s="29">
        <f ca="1">IF($H$8=0,$H$10+J6*($I$10-$H$10),K12)</f>
        <v>8980.3658634389758</v>
      </c>
      <c r="L10" s="30">
        <f ca="1">I10-H10</f>
        <v>0</v>
      </c>
      <c r="M10" s="16">
        <f ca="1">J10^2-SIN(J10)</f>
        <v>80646970.048807338</v>
      </c>
      <c r="N10" s="123">
        <f ca="1">K10^2-SIN(K10)</f>
        <v>80646970.048807338</v>
      </c>
      <c r="O10" s="127">
        <v>1.0000000000000003E-4</v>
      </c>
      <c r="P10" s="9"/>
      <c r="Q10" s="9"/>
      <c r="R10" s="9"/>
      <c r="S10" s="9"/>
      <c r="T10" s="9"/>
      <c r="U10" s="9"/>
      <c r="V10" s="9"/>
      <c r="W10" s="9"/>
      <c r="X10" s="9"/>
      <c r="Y10" s="9"/>
      <c r="Z10" s="9"/>
      <c r="AA10" s="9"/>
      <c r="AB10" s="9"/>
      <c r="AC10" s="9"/>
    </row>
    <row r="11" spans="1:29" x14ac:dyDescent="0.2">
      <c r="A11" s="153" t="s">
        <v>30</v>
      </c>
      <c r="B11" s="154"/>
      <c r="C11" s="154"/>
      <c r="D11" s="154"/>
      <c r="E11" s="154"/>
      <c r="F11" s="154"/>
      <c r="G11" s="155"/>
      <c r="H11" s="144">
        <f ca="1">$L$6*(H10-sheet1!$D$6)/(H10^(2*sheet1!$E$6))</f>
        <v>8805078661477555</v>
      </c>
      <c r="I11" s="145">
        <f ca="1">$L$6*(I10-sheet1!$D$6)/(I10^(2*sheet1!$E$6))</f>
        <v>8805078661477437</v>
      </c>
      <c r="J11" s="145">
        <f ca="1">$L$6*(J10-sheet1!$D$6)/(J10^(2*sheet1!$E$6))</f>
        <v>8805078661477555</v>
      </c>
      <c r="K11" s="145">
        <f ca="1">$L$6*(K10-sheet1!$D$6)/(K10^(2*sheet1!$E$6))</f>
        <v>8805078661477555</v>
      </c>
      <c r="L11" s="16"/>
      <c r="M11" s="15"/>
      <c r="N11" s="123"/>
      <c r="O11" s="127">
        <v>1.0000000000000006E-5</v>
      </c>
      <c r="P11" s="9"/>
      <c r="Q11" s="9"/>
      <c r="R11" s="9"/>
      <c r="S11" s="9"/>
      <c r="T11" s="9"/>
      <c r="U11" s="9"/>
      <c r="V11" s="9"/>
      <c r="W11" s="9"/>
      <c r="X11" s="9"/>
      <c r="Y11" s="9"/>
      <c r="Z11" s="9"/>
      <c r="AA11" s="9"/>
      <c r="AB11" s="9"/>
      <c r="AC11" s="9"/>
    </row>
    <row r="12" spans="1:29" ht="14.25" x14ac:dyDescent="0.2">
      <c r="A12" s="153" t="s">
        <v>31</v>
      </c>
      <c r="B12" s="154"/>
      <c r="C12" s="154"/>
      <c r="D12" s="154"/>
      <c r="E12" s="154"/>
      <c r="F12" s="154"/>
      <c r="G12" s="155"/>
      <c r="H12" s="28">
        <f ca="1">IF($J$11&gt;$K$11,H10,J10)</f>
        <v>8980.3658634389758</v>
      </c>
      <c r="I12" s="29">
        <f ca="1">IF($J$11&gt;$K$11,K10,I10)</f>
        <v>8980.3658634389776</v>
      </c>
      <c r="J12" s="29">
        <f ca="1">IF($J$11&gt;$K$11,$H$12+$K$6*($I$12-$H$12),K10)</f>
        <v>8980.3658634389758</v>
      </c>
      <c r="K12" s="29">
        <f ca="1">IF($J$11&gt;$K$11,J10,$H$12+J6*($I$12-$H$12))</f>
        <v>8980.3658634389776</v>
      </c>
      <c r="L12" s="30">
        <f ca="1">I12-H12</f>
        <v>0</v>
      </c>
      <c r="M12" s="16">
        <f ca="1">J12^2-SIN(J12)</f>
        <v>80646970.048807338</v>
      </c>
      <c r="N12" s="123">
        <f ca="1">K12^2-SIN(K12)</f>
        <v>80646970.048807383</v>
      </c>
      <c r="O12" s="127">
        <v>1.0000000000000006E-6</v>
      </c>
      <c r="P12" s="9"/>
      <c r="Q12" s="9"/>
      <c r="R12" s="9"/>
      <c r="S12" s="9"/>
      <c r="T12" s="9"/>
      <c r="U12" s="9"/>
      <c r="V12" s="9"/>
      <c r="W12" s="9"/>
      <c r="X12" s="9"/>
      <c r="Y12" s="9"/>
      <c r="Z12" s="9"/>
      <c r="AA12" s="9"/>
      <c r="AB12" s="9"/>
      <c r="AC12" s="9"/>
    </row>
    <row r="13" spans="1:29" ht="13.5" thickBot="1" x14ac:dyDescent="0.25">
      <c r="A13" s="162" t="s">
        <v>32</v>
      </c>
      <c r="B13" s="163"/>
      <c r="C13" s="163"/>
      <c r="D13" s="163"/>
      <c r="E13" s="163"/>
      <c r="F13" s="163"/>
      <c r="G13" s="164"/>
      <c r="H13" s="31" t="str">
        <f ca="1">IF(H6=1,"Программа в исходном состоянии",IF(ABS((I12-H12)/H12)&lt;I6,"Решение найдено с желаемой точностью!","Продолжайте итерации, щелкая по кнопке &lt;F9&gt;"))</f>
        <v>Решение найдено с желаемой точностью!</v>
      </c>
      <c r="I13" s="15"/>
      <c r="J13" s="15"/>
      <c r="K13" s="15"/>
      <c r="L13" s="16"/>
      <c r="M13" s="16"/>
      <c r="N13" s="123"/>
      <c r="O13" s="127">
        <v>1.0000000000000006E-7</v>
      </c>
      <c r="P13" s="9"/>
      <c r="Q13" s="9"/>
      <c r="R13" s="9"/>
      <c r="S13" s="9"/>
      <c r="T13" s="9"/>
      <c r="U13" s="9"/>
      <c r="V13" s="9"/>
      <c r="W13" s="9"/>
      <c r="X13" s="9"/>
      <c r="Y13" s="9"/>
      <c r="Z13" s="9"/>
      <c r="AA13" s="9"/>
      <c r="AB13" s="9"/>
      <c r="AC13" s="9"/>
    </row>
    <row r="14" spans="1:29" x14ac:dyDescent="0.2">
      <c r="A14" s="165" t="s">
        <v>11</v>
      </c>
      <c r="B14" s="166"/>
      <c r="C14" s="166"/>
      <c r="D14" s="166"/>
      <c r="E14" s="166"/>
      <c r="F14" s="166"/>
      <c r="G14" s="167"/>
      <c r="H14" s="77">
        <f ca="1">IF($H$8=0,$H$10,IF(ABS((I12-H12)/H12)&lt;I6,H14,IF(H11&lt;I11,H10,I10)))</f>
        <v>8980.3658634400417</v>
      </c>
      <c r="I14" s="81">
        <f>sheet1!I6</f>
        <v>8980.3657737185094</v>
      </c>
      <c r="J14" s="8"/>
      <c r="K14" s="8"/>
      <c r="L14" s="16"/>
      <c r="M14" s="16"/>
      <c r="N14" s="123"/>
      <c r="O14" s="127">
        <v>1.0000000000000008E-8</v>
      </c>
      <c r="P14" s="9"/>
      <c r="Q14" s="9"/>
      <c r="R14" s="9"/>
      <c r="S14" s="9"/>
      <c r="T14" s="9"/>
      <c r="U14" s="9"/>
      <c r="V14" s="9"/>
      <c r="W14" s="9"/>
      <c r="X14" s="9"/>
      <c r="Y14" s="9"/>
      <c r="Z14" s="9"/>
      <c r="AA14" s="9"/>
      <c r="AB14" s="9"/>
      <c r="AC14" s="9"/>
    </row>
    <row r="15" spans="1:29" x14ac:dyDescent="0.2">
      <c r="A15" s="159" t="s">
        <v>33</v>
      </c>
      <c r="B15" s="160"/>
      <c r="C15" s="160"/>
      <c r="D15" s="160"/>
      <c r="E15" s="160"/>
      <c r="F15" s="160"/>
      <c r="G15" s="161"/>
      <c r="H15" s="78">
        <f ca="1">sheet1!B6/(H14+H14*sheet1!C6)^(2*sheet1!E6)</f>
        <v>5467750441920.1982</v>
      </c>
      <c r="I15" s="22"/>
      <c r="J15" s="8"/>
      <c r="K15" s="8"/>
      <c r="L15" s="16"/>
      <c r="M15" s="16"/>
      <c r="N15" s="123"/>
      <c r="O15" s="127">
        <v>1.0000000000000009E-9</v>
      </c>
      <c r="P15" s="9"/>
      <c r="Q15" s="9"/>
      <c r="R15" s="9"/>
      <c r="S15" s="9"/>
      <c r="T15" s="9"/>
      <c r="U15" s="9"/>
      <c r="V15" s="9"/>
      <c r="W15" s="9"/>
      <c r="X15" s="9"/>
      <c r="Y15" s="9"/>
      <c r="Z15" s="9"/>
      <c r="AA15" s="9"/>
      <c r="AB15" s="9"/>
      <c r="AC15" s="9"/>
    </row>
    <row r="16" spans="1:29" x14ac:dyDescent="0.2">
      <c r="A16" s="159" t="s">
        <v>5</v>
      </c>
      <c r="B16" s="160"/>
      <c r="C16" s="160"/>
      <c r="D16" s="160"/>
      <c r="E16" s="160"/>
      <c r="F16" s="160"/>
      <c r="G16" s="161"/>
      <c r="H16" s="77">
        <f ca="1">IF($H$8=0,$H$11,IF(ABS((I12-H12)/H12)&lt;I6,H16,IF(H11&lt;I11,H11,I11)))</f>
        <v>8805078661477500</v>
      </c>
      <c r="I16" s="17"/>
      <c r="J16" s="15"/>
      <c r="K16" s="15"/>
      <c r="L16" s="16"/>
      <c r="M16" s="16"/>
      <c r="N16" s="123"/>
      <c r="O16" s="127">
        <v>1.0000000000000009E-10</v>
      </c>
      <c r="P16" s="9"/>
      <c r="Q16" s="9"/>
      <c r="R16" s="9"/>
      <c r="S16" s="9"/>
      <c r="T16" s="9"/>
      <c r="U16" s="9"/>
      <c r="V16" s="9"/>
      <c r="W16" s="9"/>
      <c r="X16" s="9"/>
      <c r="Y16" s="9"/>
      <c r="Z16" s="9"/>
      <c r="AA16" s="9"/>
      <c r="AB16" s="9"/>
      <c r="AC16" s="9"/>
    </row>
    <row r="17" spans="1:29" x14ac:dyDescent="0.2">
      <c r="A17" s="159" t="s">
        <v>7</v>
      </c>
      <c r="B17" s="160"/>
      <c r="C17" s="160"/>
      <c r="D17" s="160"/>
      <c r="E17" s="160"/>
      <c r="F17" s="160"/>
      <c r="G17" s="161"/>
      <c r="H17" s="78">
        <f ca="1">H15*sheet1!D6</f>
        <v>4.0297320756951864E+16</v>
      </c>
      <c r="I17" s="17"/>
      <c r="J17" s="15"/>
      <c r="K17" s="15"/>
      <c r="L17" s="16"/>
      <c r="M17" s="16"/>
      <c r="N17" s="123"/>
      <c r="O17" s="127">
        <v>1.0000000000000011E-11</v>
      </c>
      <c r="P17" s="9"/>
      <c r="Q17" s="9"/>
      <c r="R17" s="9"/>
      <c r="S17" s="9"/>
      <c r="T17" s="9"/>
      <c r="U17" s="9"/>
      <c r="V17" s="9"/>
      <c r="W17" s="9"/>
      <c r="X17" s="9"/>
      <c r="Y17" s="9"/>
      <c r="Z17" s="9"/>
      <c r="AA17" s="9"/>
      <c r="AB17" s="9"/>
      <c r="AC17" s="9"/>
    </row>
    <row r="18" spans="1:29" x14ac:dyDescent="0.2">
      <c r="A18" s="159" t="s">
        <v>34</v>
      </c>
      <c r="B18" s="160"/>
      <c r="C18" s="160"/>
      <c r="D18" s="160"/>
      <c r="E18" s="160"/>
      <c r="F18" s="160"/>
      <c r="G18" s="161"/>
      <c r="H18" s="79">
        <f ca="1">IF($H$8=0,0,IF(ABS((I12-H12)/H12)&lt;I6,H18,H8))</f>
        <v>94</v>
      </c>
      <c r="I18" s="15"/>
      <c r="J18" s="15"/>
      <c r="K18" s="15"/>
      <c r="L18" s="16"/>
      <c r="M18" s="16"/>
      <c r="N18" s="123"/>
      <c r="O18" s="127">
        <v>1.0000000000000012E-12</v>
      </c>
      <c r="P18" s="9"/>
      <c r="Q18" s="9"/>
      <c r="R18" s="9"/>
      <c r="S18" s="9"/>
      <c r="T18" s="9"/>
      <c r="U18" s="9"/>
      <c r="V18" s="9"/>
      <c r="W18" s="9"/>
      <c r="X18" s="9"/>
      <c r="Y18" s="9"/>
      <c r="Z18" s="9"/>
      <c r="AA18" s="9"/>
      <c r="AB18" s="9"/>
      <c r="AC18" s="9"/>
    </row>
    <row r="19" spans="1:29" ht="15" thickBot="1" x14ac:dyDescent="0.25">
      <c r="A19" s="156" t="s">
        <v>35</v>
      </c>
      <c r="B19" s="157"/>
      <c r="C19" s="157"/>
      <c r="D19" s="157"/>
      <c r="E19" s="157"/>
      <c r="F19" s="157"/>
      <c r="G19" s="158"/>
      <c r="H19" s="80">
        <f ca="1">IF(ABS((I12-H12)/H12)&lt;I6,H19,I12-H12)</f>
        <v>1.3988028513267636E-9</v>
      </c>
      <c r="I19" s="18"/>
      <c r="J19" s="18"/>
      <c r="K19" s="18"/>
      <c r="L19" s="18"/>
      <c r="M19" s="18"/>
      <c r="N19" s="125"/>
      <c r="O19" s="127">
        <v>1.0000000000000014E-13</v>
      </c>
      <c r="P19" s="9"/>
      <c r="Q19" s="9"/>
      <c r="R19" s="9"/>
      <c r="S19" s="9"/>
      <c r="T19" s="9"/>
      <c r="U19" s="9"/>
      <c r="V19" s="9"/>
      <c r="W19" s="9"/>
      <c r="X19" s="9"/>
      <c r="Y19" s="9"/>
      <c r="Z19" s="9"/>
      <c r="AA19" s="9"/>
      <c r="AB19" s="9"/>
      <c r="AC19" s="9"/>
    </row>
    <row r="20" spans="1:29" x14ac:dyDescent="0.2">
      <c r="N20" s="9"/>
      <c r="O20" s="127">
        <v>1E-14</v>
      </c>
      <c r="P20" s="9"/>
      <c r="Q20" s="9"/>
      <c r="R20" s="9"/>
      <c r="S20" s="9"/>
      <c r="T20" s="9"/>
      <c r="U20" s="9"/>
      <c r="V20" s="9"/>
      <c r="W20" s="9"/>
      <c r="X20" s="9"/>
      <c r="Y20" s="9"/>
      <c r="Z20" s="9"/>
      <c r="AA20" s="9"/>
    </row>
    <row r="21" spans="1:29" x14ac:dyDescent="0.2">
      <c r="N21" s="9"/>
      <c r="O21" s="127">
        <v>1.0000000000000001E-15</v>
      </c>
      <c r="P21" s="9"/>
      <c r="Q21" s="9"/>
      <c r="R21" s="9"/>
      <c r="S21" s="9"/>
      <c r="T21" s="9"/>
      <c r="U21" s="9"/>
      <c r="V21" s="9"/>
      <c r="W21" s="9"/>
      <c r="X21" s="9"/>
      <c r="Y21" s="9"/>
      <c r="Z21" s="9"/>
      <c r="AA21" s="9"/>
    </row>
    <row r="22" spans="1:29" ht="13.5" thickBot="1" x14ac:dyDescent="0.25">
      <c r="N22" s="9"/>
      <c r="O22" s="128">
        <v>9.9999999999999998E-17</v>
      </c>
      <c r="P22" s="9"/>
      <c r="Q22" s="9"/>
      <c r="R22" s="9"/>
      <c r="S22" s="9"/>
      <c r="T22" s="9"/>
      <c r="U22" s="9"/>
      <c r="V22" s="9"/>
    </row>
    <row r="23" spans="1:29" x14ac:dyDescent="0.2">
      <c r="N23" s="9"/>
      <c r="O23" s="9"/>
      <c r="P23" s="9"/>
      <c r="Q23" s="9"/>
      <c r="R23" s="9"/>
      <c r="S23" s="9"/>
      <c r="T23" s="9"/>
      <c r="U23" s="9"/>
      <c r="V23" s="9"/>
    </row>
    <row r="24" spans="1:29" x14ac:dyDescent="0.2">
      <c r="N24" s="9"/>
      <c r="O24" s="9"/>
      <c r="P24" s="9"/>
      <c r="Q24" s="9"/>
      <c r="R24" s="9"/>
      <c r="S24" s="9"/>
      <c r="T24" s="9"/>
      <c r="U24" s="9"/>
      <c r="V24" s="9"/>
    </row>
    <row r="25" spans="1:29" x14ac:dyDescent="0.2">
      <c r="N25" s="9"/>
      <c r="O25" s="9"/>
      <c r="P25" s="9"/>
      <c r="Q25" s="9"/>
      <c r="R25" s="9"/>
      <c r="S25" s="9"/>
      <c r="T25" s="9"/>
      <c r="U25" s="9"/>
      <c r="V25" s="9"/>
    </row>
    <row r="26" spans="1:29" x14ac:dyDescent="0.2">
      <c r="N26" s="9"/>
      <c r="O26" s="9"/>
      <c r="P26" s="9"/>
      <c r="Q26" s="9"/>
      <c r="R26" s="9"/>
      <c r="S26" s="9"/>
      <c r="T26" s="9"/>
      <c r="U26" s="9"/>
      <c r="V26" s="9"/>
    </row>
    <row r="27" spans="1:29" x14ac:dyDescent="0.2">
      <c r="N27" s="9"/>
      <c r="O27" s="9"/>
      <c r="P27" s="9"/>
      <c r="Q27" s="9"/>
      <c r="R27" s="9"/>
      <c r="S27" s="9"/>
      <c r="T27" s="9"/>
      <c r="U27" s="9"/>
      <c r="V27" s="9"/>
    </row>
    <row r="28" spans="1:29" x14ac:dyDescent="0.2">
      <c r="N28" s="9"/>
      <c r="O28" s="9"/>
      <c r="P28" s="9"/>
      <c r="Q28" s="9"/>
      <c r="R28" s="9"/>
      <c r="S28" s="9"/>
      <c r="T28" s="9"/>
      <c r="U28" s="9"/>
      <c r="V28" s="9"/>
    </row>
    <row r="29" spans="1:29" x14ac:dyDescent="0.2">
      <c r="N29" s="9"/>
      <c r="O29" s="9"/>
      <c r="P29" s="9"/>
      <c r="Q29" s="9"/>
      <c r="R29" s="9"/>
      <c r="S29" s="9"/>
      <c r="T29" s="9"/>
      <c r="U29" s="9"/>
      <c r="V29" s="9"/>
    </row>
    <row r="30" spans="1:29" x14ac:dyDescent="0.2">
      <c r="N30" s="9"/>
      <c r="O30" s="9"/>
      <c r="P30" s="9"/>
      <c r="Q30" s="9"/>
      <c r="R30" s="9"/>
      <c r="S30" s="9"/>
      <c r="T30" s="9"/>
      <c r="U30" s="9"/>
      <c r="V30" s="9"/>
    </row>
    <row r="31" spans="1:29" x14ac:dyDescent="0.2">
      <c r="N31" s="9"/>
      <c r="O31" s="9"/>
      <c r="P31" s="9"/>
      <c r="Q31" s="9"/>
      <c r="R31" s="9"/>
      <c r="S31" s="9"/>
      <c r="T31" s="9"/>
      <c r="U31" s="9"/>
      <c r="V31" s="9"/>
    </row>
    <row r="32" spans="1:29" x14ac:dyDescent="0.2">
      <c r="N32" s="9"/>
      <c r="O32" s="9"/>
      <c r="P32" s="9"/>
      <c r="Q32" s="9"/>
      <c r="R32" s="9"/>
      <c r="S32" s="9"/>
      <c r="T32" s="9"/>
      <c r="U32" s="9"/>
      <c r="V32" s="9"/>
    </row>
    <row r="33" spans="1:24" x14ac:dyDescent="0.2">
      <c r="N33" s="9"/>
      <c r="O33" s="9"/>
      <c r="P33" s="9"/>
      <c r="Q33" s="9"/>
      <c r="R33" s="9"/>
      <c r="S33" s="9"/>
      <c r="T33" s="9"/>
      <c r="U33" s="9"/>
      <c r="V33" s="9"/>
    </row>
    <row r="34" spans="1:24" x14ac:dyDescent="0.2">
      <c r="N34" s="9"/>
      <c r="O34" s="9"/>
      <c r="P34" s="9"/>
      <c r="Q34" s="9"/>
      <c r="R34" s="9"/>
      <c r="S34" s="9"/>
      <c r="T34" s="9"/>
      <c r="U34" s="9"/>
      <c r="V34" s="9"/>
    </row>
    <row r="35" spans="1:24" x14ac:dyDescent="0.2">
      <c r="P35" s="9"/>
      <c r="Q35" s="9"/>
      <c r="R35" s="9"/>
      <c r="S35" s="9"/>
      <c r="T35" s="9"/>
      <c r="U35" s="9"/>
      <c r="V35" s="9"/>
      <c r="W35" s="9"/>
      <c r="X35" s="9"/>
    </row>
    <row r="36" spans="1:24" x14ac:dyDescent="0.2">
      <c r="P36" s="9"/>
      <c r="Q36" s="9"/>
      <c r="R36" s="9"/>
      <c r="S36" s="9"/>
      <c r="T36" s="9"/>
      <c r="U36" s="9"/>
      <c r="V36" s="9"/>
      <c r="W36" s="9"/>
      <c r="X36" s="9"/>
    </row>
    <row r="37" spans="1:24" x14ac:dyDescent="0.2">
      <c r="A37" s="9"/>
      <c r="B37" s="9"/>
      <c r="C37" s="9"/>
      <c r="D37" s="9"/>
      <c r="E37" s="9"/>
      <c r="F37" s="9"/>
      <c r="G37" s="9"/>
      <c r="H37" s="9"/>
      <c r="I37" s="9"/>
      <c r="J37" s="9"/>
      <c r="K37" s="9"/>
      <c r="L37" s="9"/>
      <c r="M37" s="9"/>
      <c r="N37" s="9"/>
      <c r="O37" s="9"/>
      <c r="P37" s="9"/>
      <c r="Q37" s="9"/>
      <c r="R37" s="9"/>
      <c r="S37" s="9"/>
      <c r="T37" s="9"/>
      <c r="U37" s="9"/>
      <c r="V37" s="9"/>
      <c r="W37" s="9"/>
      <c r="X37" s="9"/>
    </row>
    <row r="38" spans="1:24" x14ac:dyDescent="0.2">
      <c r="A38" s="9"/>
      <c r="B38" s="9"/>
      <c r="C38" s="9"/>
      <c r="D38" s="9"/>
      <c r="E38" s="9"/>
      <c r="F38" s="9"/>
      <c r="G38" s="9"/>
      <c r="H38" s="9"/>
      <c r="I38" s="9"/>
      <c r="J38" s="9"/>
      <c r="K38" s="9"/>
      <c r="L38" s="9"/>
      <c r="M38" s="9"/>
      <c r="N38" s="9"/>
      <c r="O38" s="9"/>
      <c r="P38" s="9"/>
      <c r="Q38" s="9"/>
      <c r="R38" s="9"/>
      <c r="S38" s="9"/>
      <c r="T38" s="9"/>
      <c r="U38" s="9"/>
      <c r="V38" s="9"/>
      <c r="W38" s="9"/>
      <c r="X38" s="9"/>
    </row>
    <row r="39" spans="1:24" x14ac:dyDescent="0.2">
      <c r="A39" s="9"/>
      <c r="B39" s="9"/>
      <c r="C39" s="9"/>
      <c r="D39" s="9"/>
      <c r="E39" s="9"/>
      <c r="F39" s="9"/>
      <c r="G39" s="9"/>
      <c r="H39" s="9"/>
      <c r="I39" s="9"/>
      <c r="J39" s="9"/>
      <c r="K39" s="9"/>
      <c r="L39" s="9"/>
      <c r="M39" s="9"/>
      <c r="N39" s="9"/>
      <c r="O39" s="9"/>
      <c r="P39" s="9"/>
      <c r="Q39" s="9"/>
      <c r="R39" s="9"/>
      <c r="S39" s="9"/>
      <c r="T39" s="9"/>
      <c r="U39" s="9"/>
      <c r="V39" s="9"/>
      <c r="W39" s="9"/>
      <c r="X39" s="9"/>
    </row>
    <row r="40" spans="1:24" x14ac:dyDescent="0.2">
      <c r="A40" s="9"/>
      <c r="B40" s="9"/>
      <c r="C40" s="9"/>
      <c r="D40" s="9"/>
      <c r="E40" s="9"/>
      <c r="F40" s="9"/>
      <c r="G40" s="9"/>
      <c r="H40" s="9"/>
      <c r="I40" s="9"/>
      <c r="J40" s="9"/>
      <c r="K40" s="9"/>
      <c r="L40" s="9"/>
      <c r="M40" s="9"/>
      <c r="N40" s="9"/>
      <c r="O40" s="9"/>
      <c r="P40" s="9"/>
      <c r="Q40" s="9"/>
      <c r="R40" s="9"/>
      <c r="S40" s="9"/>
      <c r="T40" s="9"/>
      <c r="U40" s="9"/>
      <c r="V40" s="9"/>
      <c r="W40" s="9"/>
      <c r="X40" s="9"/>
    </row>
    <row r="41" spans="1:24" x14ac:dyDescent="0.2">
      <c r="A41" s="9"/>
      <c r="B41" s="9"/>
      <c r="C41" s="9"/>
      <c r="D41" s="9"/>
      <c r="E41" s="9"/>
      <c r="F41" s="9"/>
      <c r="G41" s="9"/>
      <c r="H41" s="9"/>
      <c r="I41" s="9"/>
      <c r="J41" s="9"/>
      <c r="K41" s="9"/>
      <c r="L41" s="9"/>
      <c r="M41" s="9"/>
      <c r="N41" s="9"/>
      <c r="O41" s="9"/>
      <c r="P41" s="9"/>
      <c r="Q41" s="9"/>
      <c r="R41" s="9"/>
      <c r="S41" s="9"/>
      <c r="T41" s="9"/>
      <c r="U41" s="9"/>
      <c r="V41" s="9"/>
      <c r="W41" s="9"/>
      <c r="X41" s="9"/>
    </row>
    <row r="42" spans="1:24" x14ac:dyDescent="0.2">
      <c r="A42" s="9"/>
      <c r="B42" s="9"/>
      <c r="C42" s="9"/>
      <c r="D42" s="9"/>
      <c r="E42" s="9"/>
      <c r="F42" s="9"/>
      <c r="G42" s="9"/>
      <c r="H42" s="9"/>
      <c r="I42" s="9"/>
      <c r="J42" s="9"/>
      <c r="K42" s="9"/>
      <c r="L42" s="9"/>
      <c r="M42" s="9"/>
      <c r="N42" s="9"/>
      <c r="O42" s="9"/>
      <c r="P42" s="9"/>
      <c r="Q42" s="9"/>
      <c r="R42" s="9"/>
      <c r="S42" s="9"/>
      <c r="T42" s="9"/>
      <c r="U42" s="9"/>
      <c r="V42" s="9"/>
      <c r="W42" s="9"/>
      <c r="X42" s="9"/>
    </row>
    <row r="43" spans="1:24" x14ac:dyDescent="0.2">
      <c r="A43" s="9"/>
      <c r="B43" s="9"/>
      <c r="C43" s="9"/>
      <c r="D43" s="9"/>
      <c r="E43" s="9"/>
      <c r="F43" s="9"/>
      <c r="G43" s="9"/>
      <c r="H43" s="9"/>
      <c r="I43" s="9"/>
      <c r="J43" s="9"/>
      <c r="K43" s="9"/>
      <c r="L43" s="9"/>
      <c r="M43" s="9"/>
      <c r="N43" s="9"/>
      <c r="O43" s="9"/>
      <c r="P43" s="9"/>
      <c r="Q43" s="9"/>
      <c r="R43" s="9"/>
      <c r="S43" s="9"/>
      <c r="T43" s="9"/>
      <c r="U43" s="9"/>
      <c r="V43" s="9"/>
      <c r="W43" s="9"/>
      <c r="X43" s="9"/>
    </row>
    <row r="44" spans="1:24" x14ac:dyDescent="0.2">
      <c r="A44" s="9"/>
      <c r="B44" s="9"/>
      <c r="C44" s="9"/>
      <c r="D44" s="9"/>
      <c r="E44" s="9"/>
      <c r="F44" s="9"/>
      <c r="G44" s="9"/>
      <c r="H44" s="9"/>
      <c r="I44" s="9"/>
      <c r="J44" s="9"/>
      <c r="K44" s="9"/>
      <c r="L44" s="9"/>
      <c r="M44" s="9"/>
      <c r="N44" s="9"/>
      <c r="O44" s="9"/>
      <c r="P44" s="9"/>
      <c r="Q44" s="9"/>
      <c r="R44" s="9"/>
      <c r="S44" s="9"/>
      <c r="T44" s="9"/>
      <c r="U44" s="9"/>
      <c r="V44" s="9"/>
      <c r="W44" s="9"/>
      <c r="X44" s="9"/>
    </row>
    <row r="45" spans="1:24" x14ac:dyDescent="0.2">
      <c r="A45" s="9"/>
      <c r="B45" s="9"/>
      <c r="C45" s="9"/>
      <c r="D45" s="9"/>
      <c r="E45" s="9"/>
      <c r="F45" s="9"/>
      <c r="G45" s="9"/>
      <c r="H45" s="9"/>
      <c r="I45" s="9"/>
      <c r="J45" s="9"/>
      <c r="K45" s="9"/>
      <c r="L45" s="9"/>
      <c r="M45" s="9"/>
      <c r="N45" s="9"/>
      <c r="O45" s="9"/>
      <c r="P45" s="9"/>
      <c r="Q45" s="9"/>
      <c r="R45" s="9"/>
      <c r="S45" s="9"/>
      <c r="T45" s="9"/>
      <c r="U45" s="9"/>
      <c r="V45" s="9"/>
      <c r="W45" s="9"/>
      <c r="X45" s="9"/>
    </row>
    <row r="46" spans="1:24" x14ac:dyDescent="0.2">
      <c r="A46" s="9"/>
      <c r="B46" s="9"/>
      <c r="C46" s="9"/>
      <c r="D46" s="9"/>
      <c r="E46" s="9"/>
      <c r="F46" s="9"/>
      <c r="G46" s="9"/>
      <c r="H46" s="9"/>
      <c r="I46" s="9"/>
      <c r="J46" s="9"/>
      <c r="K46" s="9"/>
      <c r="L46" s="9"/>
      <c r="M46" s="9"/>
      <c r="N46" s="9"/>
      <c r="O46" s="9"/>
      <c r="P46" s="9"/>
      <c r="Q46" s="9"/>
      <c r="R46" s="9"/>
      <c r="S46" s="9"/>
      <c r="T46" s="9"/>
      <c r="U46" s="9"/>
      <c r="V46" s="9"/>
      <c r="W46" s="9"/>
      <c r="X46" s="9"/>
    </row>
    <row r="47" spans="1:24" x14ac:dyDescent="0.2">
      <c r="A47" s="9"/>
      <c r="B47" s="9"/>
      <c r="C47" s="9"/>
      <c r="D47" s="9"/>
      <c r="E47" s="9"/>
      <c r="F47" s="9"/>
      <c r="G47" s="9"/>
      <c r="H47" s="9"/>
      <c r="I47" s="9"/>
      <c r="J47" s="9"/>
      <c r="K47" s="9"/>
      <c r="L47" s="9"/>
      <c r="M47" s="9"/>
      <c r="N47" s="9"/>
      <c r="O47" s="9"/>
      <c r="P47" s="9"/>
      <c r="Q47" s="9"/>
      <c r="R47" s="9"/>
      <c r="S47" s="9"/>
      <c r="T47" s="9"/>
      <c r="U47" s="9"/>
      <c r="V47" s="9"/>
      <c r="W47" s="9"/>
      <c r="X47" s="9"/>
    </row>
    <row r="48" spans="1:24" x14ac:dyDescent="0.2">
      <c r="A48" s="9"/>
      <c r="B48" s="9"/>
      <c r="C48" s="9"/>
      <c r="D48" s="9"/>
      <c r="E48" s="9"/>
      <c r="F48" s="9"/>
      <c r="G48" s="9"/>
      <c r="H48" s="9"/>
      <c r="I48" s="9"/>
      <c r="J48" s="9"/>
      <c r="K48" s="9"/>
      <c r="L48" s="9"/>
      <c r="M48" s="9"/>
      <c r="N48" s="9"/>
      <c r="O48" s="9"/>
      <c r="P48" s="9"/>
      <c r="Q48" s="9"/>
      <c r="R48" s="9"/>
      <c r="S48" s="9"/>
      <c r="T48" s="9"/>
      <c r="U48" s="9"/>
      <c r="V48" s="9"/>
      <c r="W48" s="9"/>
      <c r="X48" s="9"/>
    </row>
    <row r="49" spans="1:24" x14ac:dyDescent="0.2">
      <c r="A49" s="9"/>
      <c r="B49" s="9"/>
      <c r="C49" s="9"/>
      <c r="D49" s="9"/>
      <c r="E49" s="9"/>
      <c r="F49" s="9"/>
      <c r="G49" s="9"/>
      <c r="H49" s="9"/>
      <c r="I49" s="9"/>
      <c r="J49" s="9"/>
      <c r="K49" s="9"/>
      <c r="L49" s="9"/>
      <c r="M49" s="9"/>
      <c r="N49" s="9"/>
      <c r="O49" s="9"/>
      <c r="P49" s="9"/>
      <c r="Q49" s="9"/>
      <c r="R49" s="9"/>
      <c r="S49" s="9"/>
      <c r="T49" s="9"/>
      <c r="U49" s="9"/>
      <c r="V49" s="9"/>
      <c r="W49" s="9"/>
      <c r="X49" s="9"/>
    </row>
    <row r="50" spans="1:24" x14ac:dyDescent="0.2">
      <c r="A50" s="9"/>
      <c r="B50" s="9"/>
      <c r="C50" s="9"/>
      <c r="D50" s="9"/>
      <c r="E50" s="9"/>
      <c r="F50" s="9"/>
      <c r="G50" s="9"/>
      <c r="H50" s="9"/>
      <c r="I50" s="9"/>
      <c r="J50" s="9"/>
      <c r="K50" s="9"/>
      <c r="L50" s="9"/>
      <c r="M50" s="9"/>
      <c r="N50" s="9"/>
      <c r="O50" s="9"/>
      <c r="P50" s="9"/>
      <c r="Q50" s="9"/>
      <c r="R50" s="9"/>
      <c r="S50" s="9"/>
      <c r="T50" s="9"/>
      <c r="U50" s="9"/>
      <c r="V50" s="9"/>
      <c r="W50" s="9"/>
      <c r="X50" s="9"/>
    </row>
    <row r="51" spans="1:24" x14ac:dyDescent="0.2">
      <c r="A51" s="9"/>
      <c r="B51" s="9"/>
      <c r="C51" s="9"/>
      <c r="D51" s="9"/>
      <c r="E51" s="9"/>
      <c r="F51" s="9"/>
      <c r="G51" s="9"/>
      <c r="H51" s="9"/>
      <c r="I51" s="9"/>
      <c r="J51" s="9"/>
      <c r="K51" s="9"/>
      <c r="L51" s="9"/>
      <c r="M51" s="9"/>
      <c r="N51" s="9"/>
      <c r="O51" s="9"/>
      <c r="P51" s="9"/>
      <c r="Q51" s="9"/>
      <c r="R51" s="9"/>
      <c r="S51" s="9"/>
      <c r="T51" s="9"/>
      <c r="U51" s="9"/>
      <c r="V51" s="9"/>
      <c r="W51" s="9"/>
      <c r="X51" s="9"/>
    </row>
    <row r="52" spans="1:24" x14ac:dyDescent="0.2">
      <c r="A52" s="9"/>
      <c r="B52" s="9"/>
      <c r="C52" s="9"/>
      <c r="D52" s="9"/>
      <c r="E52" s="9"/>
      <c r="F52" s="9"/>
      <c r="G52" s="9"/>
      <c r="H52" s="9"/>
      <c r="I52" s="9"/>
      <c r="J52" s="9"/>
      <c r="K52" s="9"/>
      <c r="L52" s="9"/>
      <c r="M52" s="9"/>
      <c r="N52" s="9"/>
      <c r="O52" s="9"/>
      <c r="P52" s="9"/>
      <c r="Q52" s="9"/>
      <c r="R52" s="9"/>
      <c r="S52" s="9"/>
      <c r="T52" s="9"/>
      <c r="U52" s="9"/>
      <c r="V52" s="9"/>
      <c r="W52" s="9"/>
      <c r="X52" s="9"/>
    </row>
    <row r="53" spans="1:24" x14ac:dyDescent="0.2">
      <c r="A53" s="9"/>
      <c r="B53" s="9"/>
      <c r="C53" s="9"/>
      <c r="D53" s="9"/>
      <c r="E53" s="9"/>
      <c r="F53" s="9"/>
      <c r="G53" s="9"/>
      <c r="H53" s="9"/>
      <c r="I53" s="9"/>
      <c r="J53" s="9"/>
      <c r="K53" s="9"/>
      <c r="L53" s="9"/>
      <c r="M53" s="9"/>
      <c r="N53" s="9"/>
      <c r="O53" s="9"/>
      <c r="P53" s="9"/>
      <c r="Q53" s="9"/>
      <c r="R53" s="9"/>
      <c r="S53" s="9"/>
      <c r="T53" s="9"/>
      <c r="U53" s="9"/>
      <c r="V53" s="9"/>
      <c r="W53" s="9"/>
      <c r="X53" s="9"/>
    </row>
    <row r="54" spans="1:24" x14ac:dyDescent="0.2">
      <c r="A54" s="9"/>
      <c r="B54" s="9"/>
      <c r="C54" s="9"/>
      <c r="D54" s="9"/>
      <c r="E54" s="9"/>
      <c r="F54" s="9"/>
      <c r="G54" s="9"/>
      <c r="H54" s="9"/>
      <c r="I54" s="9"/>
      <c r="J54" s="9"/>
      <c r="K54" s="9"/>
      <c r="L54" s="9"/>
      <c r="M54" s="9"/>
      <c r="N54" s="9"/>
      <c r="O54" s="9"/>
      <c r="P54" s="9"/>
      <c r="Q54" s="9"/>
      <c r="R54" s="9"/>
      <c r="S54" s="9"/>
      <c r="T54" s="9"/>
      <c r="U54" s="9"/>
      <c r="V54" s="9"/>
      <c r="W54" s="9"/>
      <c r="X54" s="9"/>
    </row>
    <row r="55" spans="1:24" x14ac:dyDescent="0.2">
      <c r="A55" s="9"/>
      <c r="B55" s="9"/>
      <c r="C55" s="9"/>
      <c r="D55" s="9"/>
      <c r="E55" s="9"/>
      <c r="F55" s="9"/>
      <c r="G55" s="9"/>
      <c r="H55" s="9"/>
      <c r="I55" s="9"/>
      <c r="J55" s="9"/>
      <c r="K55" s="9"/>
      <c r="L55" s="9"/>
      <c r="M55" s="9"/>
      <c r="N55" s="9"/>
      <c r="O55" s="9"/>
      <c r="P55" s="9"/>
      <c r="Q55" s="9"/>
      <c r="R55" s="9"/>
      <c r="S55" s="9"/>
      <c r="T55" s="9"/>
      <c r="U55" s="9"/>
      <c r="V55" s="9"/>
      <c r="W55" s="9"/>
      <c r="X55" s="9"/>
    </row>
    <row r="56" spans="1:24" x14ac:dyDescent="0.2">
      <c r="A56" s="9"/>
      <c r="B56" s="9"/>
      <c r="C56" s="9"/>
      <c r="D56" s="9"/>
      <c r="E56" s="9"/>
      <c r="F56" s="9"/>
      <c r="G56" s="9"/>
      <c r="H56" s="9"/>
      <c r="I56" s="9"/>
      <c r="J56" s="9"/>
      <c r="K56" s="9"/>
      <c r="L56" s="9"/>
      <c r="M56" s="9"/>
      <c r="N56" s="9"/>
      <c r="O56" s="9"/>
      <c r="P56" s="9"/>
      <c r="Q56" s="9"/>
      <c r="R56" s="9"/>
      <c r="S56" s="9"/>
      <c r="T56" s="9"/>
      <c r="U56" s="9"/>
      <c r="V56" s="9"/>
      <c r="W56" s="9"/>
      <c r="X56" s="9"/>
    </row>
    <row r="57" spans="1:24" x14ac:dyDescent="0.2">
      <c r="A57" s="9"/>
      <c r="B57" s="9"/>
      <c r="C57" s="9"/>
      <c r="D57" s="9"/>
      <c r="E57" s="9"/>
      <c r="F57" s="9"/>
      <c r="G57" s="9"/>
      <c r="H57" s="9"/>
      <c r="I57" s="9"/>
      <c r="J57" s="9"/>
      <c r="K57" s="9"/>
      <c r="L57" s="9"/>
      <c r="M57" s="9"/>
      <c r="N57" s="9"/>
      <c r="O57" s="9"/>
      <c r="P57" s="9"/>
      <c r="Q57" s="9"/>
      <c r="R57" s="9"/>
      <c r="S57" s="9"/>
      <c r="T57" s="9"/>
      <c r="U57" s="9"/>
      <c r="V57" s="9"/>
      <c r="W57" s="9"/>
      <c r="X57" s="9"/>
    </row>
    <row r="58" spans="1:24" x14ac:dyDescent="0.2">
      <c r="A58" s="9"/>
      <c r="B58" s="9"/>
      <c r="C58" s="9"/>
      <c r="D58" s="9"/>
      <c r="E58" s="9"/>
      <c r="F58" s="9"/>
      <c r="G58" s="9"/>
      <c r="H58" s="9"/>
      <c r="I58" s="9"/>
      <c r="J58" s="9"/>
      <c r="K58" s="9"/>
      <c r="L58" s="9"/>
      <c r="M58" s="9"/>
      <c r="N58" s="9"/>
      <c r="O58" s="9"/>
      <c r="P58" s="9"/>
      <c r="Q58" s="9"/>
      <c r="R58" s="9"/>
      <c r="S58" s="9"/>
      <c r="T58" s="9"/>
      <c r="U58" s="9"/>
      <c r="V58" s="9"/>
      <c r="W58" s="9"/>
      <c r="X58" s="9"/>
    </row>
    <row r="59" spans="1:24" x14ac:dyDescent="0.2">
      <c r="A59" s="9"/>
      <c r="B59" s="9"/>
      <c r="C59" s="9"/>
      <c r="D59" s="9"/>
      <c r="E59" s="9"/>
      <c r="F59" s="9"/>
      <c r="G59" s="9"/>
      <c r="H59" s="9"/>
      <c r="I59" s="9"/>
      <c r="J59" s="9"/>
      <c r="K59" s="9"/>
      <c r="L59" s="9"/>
      <c r="M59" s="9"/>
      <c r="N59" s="9"/>
      <c r="O59" s="9"/>
      <c r="P59" s="9"/>
      <c r="Q59" s="9"/>
      <c r="R59" s="9"/>
      <c r="S59" s="9"/>
      <c r="T59" s="9"/>
      <c r="U59" s="9"/>
      <c r="V59" s="9"/>
      <c r="W59" s="9"/>
      <c r="X59" s="9"/>
    </row>
    <row r="60" spans="1:24" x14ac:dyDescent="0.2">
      <c r="A60" s="9"/>
      <c r="B60" s="9"/>
      <c r="C60" s="9"/>
      <c r="D60" s="9"/>
      <c r="E60" s="9"/>
      <c r="F60" s="9"/>
      <c r="G60" s="9"/>
      <c r="H60" s="9"/>
      <c r="I60" s="9"/>
      <c r="J60" s="9"/>
      <c r="K60" s="9"/>
      <c r="L60" s="9"/>
      <c r="M60" s="9"/>
      <c r="N60" s="9"/>
      <c r="O60" s="9"/>
      <c r="P60" s="9"/>
      <c r="Q60" s="9"/>
      <c r="R60" s="9"/>
      <c r="S60" s="9"/>
      <c r="T60" s="9"/>
      <c r="U60" s="9"/>
      <c r="V60" s="9"/>
      <c r="W60" s="9"/>
      <c r="X60" s="9"/>
    </row>
    <row r="61" spans="1:24" x14ac:dyDescent="0.2">
      <c r="A61" s="9"/>
      <c r="B61" s="9"/>
      <c r="C61" s="9"/>
      <c r="D61" s="9"/>
      <c r="E61" s="9"/>
      <c r="F61" s="9"/>
      <c r="G61" s="9"/>
      <c r="H61" s="9"/>
      <c r="I61" s="9"/>
      <c r="J61" s="9"/>
      <c r="K61" s="9"/>
      <c r="L61" s="9"/>
      <c r="M61" s="9"/>
      <c r="N61" s="9"/>
      <c r="O61" s="9"/>
      <c r="P61" s="9"/>
      <c r="Q61" s="9"/>
      <c r="R61" s="9"/>
      <c r="S61" s="9"/>
      <c r="T61" s="9"/>
      <c r="U61" s="9"/>
      <c r="V61" s="9"/>
      <c r="W61" s="9"/>
      <c r="X61" s="9"/>
    </row>
    <row r="62" spans="1:24" x14ac:dyDescent="0.2">
      <c r="A62" s="9"/>
      <c r="B62" s="9"/>
      <c r="C62" s="9"/>
      <c r="D62" s="9"/>
      <c r="E62" s="9"/>
      <c r="F62" s="9"/>
      <c r="G62" s="9"/>
      <c r="H62" s="9"/>
      <c r="I62" s="9"/>
      <c r="J62" s="9"/>
      <c r="K62" s="9"/>
      <c r="L62" s="9"/>
      <c r="M62" s="9"/>
      <c r="N62" s="9"/>
      <c r="O62" s="9"/>
      <c r="P62" s="9"/>
      <c r="Q62" s="9"/>
      <c r="R62" s="9"/>
      <c r="S62" s="9"/>
      <c r="T62" s="9"/>
      <c r="U62" s="9"/>
      <c r="V62" s="9"/>
      <c r="W62" s="9"/>
      <c r="X62" s="9"/>
    </row>
    <row r="63" spans="1:24" x14ac:dyDescent="0.2">
      <c r="A63" s="9"/>
      <c r="B63" s="9"/>
      <c r="C63" s="9"/>
      <c r="D63" s="9"/>
      <c r="E63" s="9"/>
      <c r="F63" s="9"/>
      <c r="G63" s="9"/>
      <c r="H63" s="9"/>
      <c r="I63" s="9"/>
      <c r="J63" s="9"/>
      <c r="K63" s="9"/>
      <c r="L63" s="9"/>
      <c r="M63" s="9"/>
      <c r="N63" s="9"/>
      <c r="O63" s="9"/>
      <c r="P63" s="9"/>
      <c r="Q63" s="9"/>
      <c r="R63" s="9"/>
      <c r="S63" s="9"/>
      <c r="T63" s="9"/>
      <c r="U63" s="9"/>
      <c r="V63" s="9"/>
      <c r="W63" s="9"/>
      <c r="X63" s="9"/>
    </row>
    <row r="64" spans="1:24" x14ac:dyDescent="0.2">
      <c r="A64" s="9"/>
      <c r="B64" s="9"/>
      <c r="C64" s="9"/>
      <c r="D64" s="9"/>
      <c r="E64" s="9"/>
      <c r="F64" s="9"/>
      <c r="G64" s="9"/>
      <c r="H64" s="9"/>
      <c r="I64" s="9"/>
      <c r="J64" s="9"/>
      <c r="K64" s="9"/>
      <c r="L64" s="9"/>
      <c r="M64" s="9"/>
      <c r="N64" s="9"/>
      <c r="O64" s="9"/>
      <c r="P64" s="9"/>
      <c r="Q64" s="9"/>
      <c r="R64" s="9"/>
      <c r="S64" s="9"/>
      <c r="T64" s="9"/>
      <c r="U64" s="9"/>
      <c r="V64" s="9"/>
      <c r="W64" s="9"/>
      <c r="X64" s="9"/>
    </row>
    <row r="65" spans="1:24" x14ac:dyDescent="0.2">
      <c r="A65" s="9"/>
      <c r="B65" s="9"/>
      <c r="C65" s="9"/>
      <c r="D65" s="9"/>
      <c r="E65" s="9"/>
      <c r="F65" s="9"/>
      <c r="G65" s="9"/>
      <c r="H65" s="9"/>
      <c r="I65" s="9"/>
      <c r="J65" s="9"/>
      <c r="K65" s="9"/>
      <c r="L65" s="9"/>
      <c r="M65" s="9"/>
      <c r="N65" s="9"/>
      <c r="O65" s="9"/>
      <c r="P65" s="9"/>
      <c r="Q65" s="9"/>
      <c r="R65" s="9"/>
      <c r="S65" s="9"/>
      <c r="T65" s="9"/>
      <c r="U65" s="9"/>
      <c r="V65" s="9"/>
      <c r="W65" s="9"/>
      <c r="X65" s="9"/>
    </row>
    <row r="66" spans="1:24" x14ac:dyDescent="0.2">
      <c r="A66" s="9"/>
      <c r="B66" s="9"/>
      <c r="C66" s="9"/>
      <c r="D66" s="9"/>
      <c r="E66" s="9"/>
      <c r="F66" s="9"/>
      <c r="G66" s="9"/>
      <c r="H66" s="9"/>
      <c r="I66" s="9"/>
      <c r="J66" s="9"/>
      <c r="K66" s="9"/>
      <c r="L66" s="9"/>
      <c r="M66" s="9"/>
      <c r="N66" s="9"/>
      <c r="O66" s="9"/>
      <c r="P66" s="9"/>
      <c r="Q66" s="9"/>
      <c r="R66" s="9"/>
      <c r="S66" s="9"/>
      <c r="T66" s="9"/>
      <c r="U66" s="9"/>
      <c r="V66" s="9"/>
      <c r="W66" s="9"/>
      <c r="X66" s="9"/>
    </row>
    <row r="67" spans="1:24" x14ac:dyDescent="0.2">
      <c r="A67" s="9"/>
      <c r="B67" s="9"/>
      <c r="C67" s="9"/>
      <c r="D67" s="9"/>
      <c r="E67" s="9"/>
      <c r="F67" s="9"/>
      <c r="G67" s="9"/>
      <c r="H67" s="9"/>
      <c r="I67" s="9"/>
      <c r="J67" s="9"/>
      <c r="K67" s="9"/>
      <c r="L67" s="9"/>
      <c r="M67" s="9"/>
      <c r="N67" s="9"/>
      <c r="O67" s="9"/>
      <c r="P67" s="9"/>
      <c r="Q67" s="9"/>
      <c r="R67" s="9"/>
      <c r="S67" s="9"/>
      <c r="T67" s="9"/>
      <c r="U67" s="9"/>
      <c r="V67" s="9"/>
      <c r="W67" s="9"/>
      <c r="X67" s="9"/>
    </row>
    <row r="68" spans="1:24" x14ac:dyDescent="0.2">
      <c r="A68" s="9"/>
      <c r="B68" s="9"/>
      <c r="C68" s="9"/>
      <c r="D68" s="9"/>
      <c r="E68" s="9"/>
      <c r="F68" s="9"/>
      <c r="G68" s="9"/>
      <c r="H68" s="9"/>
      <c r="I68" s="9"/>
      <c r="J68" s="9"/>
      <c r="K68" s="9"/>
      <c r="L68" s="9"/>
      <c r="M68" s="9"/>
      <c r="N68" s="9"/>
      <c r="O68" s="9"/>
      <c r="P68" s="9"/>
      <c r="Q68" s="9"/>
      <c r="R68" s="9"/>
      <c r="S68" s="9"/>
      <c r="T68" s="9"/>
      <c r="U68" s="9"/>
      <c r="V68" s="9"/>
      <c r="W68" s="9"/>
      <c r="X68" s="9"/>
    </row>
    <row r="69" spans="1:24" x14ac:dyDescent="0.2">
      <c r="A69" s="9"/>
      <c r="B69" s="9"/>
      <c r="C69" s="9"/>
      <c r="D69" s="9"/>
      <c r="E69" s="9"/>
      <c r="F69" s="9"/>
      <c r="G69" s="9"/>
      <c r="H69" s="9"/>
      <c r="I69" s="9"/>
      <c r="J69" s="9"/>
      <c r="K69" s="9"/>
      <c r="L69" s="9"/>
      <c r="M69" s="9"/>
      <c r="N69" s="9"/>
      <c r="O69" s="9"/>
      <c r="P69" s="9"/>
      <c r="Q69" s="9"/>
      <c r="R69" s="9"/>
      <c r="S69" s="9"/>
      <c r="T69" s="9"/>
      <c r="U69" s="9"/>
      <c r="V69" s="9"/>
      <c r="W69" s="9"/>
      <c r="X69" s="9"/>
    </row>
    <row r="70" spans="1:24" x14ac:dyDescent="0.2">
      <c r="A70" s="9"/>
      <c r="B70" s="9"/>
      <c r="C70" s="9"/>
      <c r="D70" s="9"/>
      <c r="E70" s="9"/>
      <c r="F70" s="9"/>
      <c r="G70" s="9"/>
      <c r="H70" s="9"/>
      <c r="I70" s="9"/>
      <c r="J70" s="9"/>
      <c r="K70" s="9"/>
      <c r="L70" s="9"/>
      <c r="M70" s="9"/>
      <c r="N70" s="9"/>
      <c r="O70" s="9"/>
      <c r="P70" s="9"/>
      <c r="Q70" s="9"/>
      <c r="R70" s="9"/>
      <c r="S70" s="9"/>
      <c r="T70" s="9"/>
      <c r="U70" s="9"/>
      <c r="V70" s="9"/>
      <c r="W70" s="9"/>
      <c r="X70" s="9"/>
    </row>
    <row r="71" spans="1:24" x14ac:dyDescent="0.2">
      <c r="A71" s="9"/>
      <c r="B71" s="9"/>
      <c r="C71" s="9"/>
      <c r="D71" s="9"/>
      <c r="E71" s="9"/>
      <c r="F71" s="9"/>
      <c r="G71" s="9"/>
      <c r="H71" s="9"/>
      <c r="I71" s="9"/>
      <c r="J71" s="9"/>
      <c r="K71" s="9"/>
      <c r="L71" s="9"/>
      <c r="M71" s="9"/>
      <c r="N71" s="9"/>
      <c r="O71" s="9"/>
      <c r="P71" s="9"/>
      <c r="Q71" s="9"/>
      <c r="R71" s="9"/>
      <c r="S71" s="9"/>
      <c r="T71" s="9"/>
      <c r="U71" s="9"/>
      <c r="V71" s="9"/>
      <c r="W71" s="9"/>
      <c r="X71" s="9"/>
    </row>
    <row r="72" spans="1:24" x14ac:dyDescent="0.2">
      <c r="A72" s="9"/>
      <c r="B72" s="9"/>
      <c r="C72" s="9"/>
      <c r="D72" s="9"/>
      <c r="E72" s="9"/>
      <c r="F72" s="9"/>
      <c r="G72" s="9"/>
      <c r="H72" s="9"/>
      <c r="I72" s="9"/>
      <c r="J72" s="9"/>
      <c r="K72" s="9"/>
      <c r="L72" s="9"/>
      <c r="M72" s="9"/>
      <c r="N72" s="9"/>
      <c r="O72" s="9"/>
      <c r="P72" s="9"/>
      <c r="Q72" s="9"/>
      <c r="R72" s="9"/>
      <c r="S72" s="9"/>
      <c r="T72" s="9"/>
      <c r="U72" s="9"/>
      <c r="V72" s="9"/>
      <c r="W72" s="9"/>
      <c r="X72" s="9"/>
    </row>
    <row r="73" spans="1:24" x14ac:dyDescent="0.2">
      <c r="A73" s="9"/>
      <c r="B73" s="9"/>
      <c r="C73" s="9"/>
      <c r="D73" s="9"/>
      <c r="E73" s="9"/>
      <c r="F73" s="9"/>
      <c r="G73" s="9"/>
      <c r="H73" s="9"/>
      <c r="I73" s="9"/>
      <c r="J73" s="9"/>
      <c r="K73" s="9"/>
      <c r="L73" s="9"/>
      <c r="M73" s="9"/>
      <c r="N73" s="9"/>
      <c r="O73" s="9"/>
      <c r="P73" s="9"/>
      <c r="Q73" s="9"/>
      <c r="R73" s="9"/>
      <c r="S73" s="9"/>
      <c r="T73" s="9"/>
      <c r="U73" s="9"/>
      <c r="V73" s="9"/>
      <c r="W73" s="9"/>
      <c r="X73" s="9"/>
    </row>
    <row r="74" spans="1:24" x14ac:dyDescent="0.2">
      <c r="A74" s="9"/>
      <c r="B74" s="9"/>
      <c r="C74" s="9"/>
      <c r="D74" s="9"/>
      <c r="E74" s="9"/>
      <c r="F74" s="9"/>
      <c r="G74" s="9"/>
      <c r="H74" s="9"/>
      <c r="I74" s="9"/>
      <c r="J74" s="9"/>
      <c r="K74" s="9"/>
      <c r="L74" s="9"/>
      <c r="M74" s="9"/>
      <c r="N74" s="9"/>
      <c r="O74" s="9"/>
      <c r="P74" s="9"/>
      <c r="Q74" s="9"/>
      <c r="R74" s="9"/>
      <c r="S74" s="9"/>
      <c r="T74" s="9"/>
      <c r="U74" s="9"/>
      <c r="V74" s="9"/>
      <c r="W74" s="9"/>
      <c r="X74" s="9"/>
    </row>
    <row r="75" spans="1:24" x14ac:dyDescent="0.2">
      <c r="A75" s="9"/>
      <c r="B75" s="9"/>
      <c r="C75" s="9"/>
      <c r="D75" s="9"/>
      <c r="E75" s="9"/>
      <c r="F75" s="9"/>
      <c r="G75" s="9"/>
      <c r="H75" s="9"/>
      <c r="I75" s="9"/>
      <c r="J75" s="9"/>
      <c r="K75" s="9"/>
      <c r="L75" s="9"/>
      <c r="M75" s="9"/>
      <c r="N75" s="9"/>
      <c r="O75" s="9"/>
      <c r="P75" s="9"/>
      <c r="Q75" s="9"/>
      <c r="R75" s="9"/>
      <c r="S75" s="9"/>
      <c r="T75" s="9"/>
      <c r="U75" s="9"/>
      <c r="V75" s="9"/>
      <c r="W75" s="9"/>
      <c r="X75" s="9"/>
    </row>
    <row r="76" spans="1:24" x14ac:dyDescent="0.2">
      <c r="A76" s="9"/>
      <c r="B76" s="9"/>
      <c r="C76" s="9"/>
      <c r="D76" s="9"/>
      <c r="E76" s="9"/>
      <c r="F76" s="9"/>
      <c r="G76" s="9"/>
      <c r="H76" s="9"/>
      <c r="I76" s="9"/>
      <c r="J76" s="9"/>
      <c r="K76" s="9"/>
      <c r="L76" s="9"/>
      <c r="M76" s="9"/>
      <c r="N76" s="9"/>
      <c r="O76" s="9"/>
      <c r="P76" s="9"/>
      <c r="Q76" s="9"/>
      <c r="R76" s="9"/>
      <c r="S76" s="9"/>
      <c r="T76" s="9"/>
      <c r="U76" s="9"/>
      <c r="V76" s="9"/>
      <c r="W76" s="9"/>
      <c r="X76" s="9"/>
    </row>
    <row r="77" spans="1:24" x14ac:dyDescent="0.2">
      <c r="A77" s="9"/>
      <c r="B77" s="9"/>
      <c r="C77" s="9"/>
      <c r="D77" s="9"/>
      <c r="E77" s="9"/>
      <c r="F77" s="9"/>
      <c r="G77" s="9"/>
      <c r="H77" s="9"/>
      <c r="I77" s="9"/>
      <c r="J77" s="9"/>
      <c r="K77" s="9"/>
      <c r="L77" s="9"/>
      <c r="M77" s="9"/>
      <c r="N77" s="9"/>
      <c r="O77" s="9"/>
      <c r="P77" s="9"/>
      <c r="Q77" s="9"/>
      <c r="R77" s="9"/>
      <c r="S77" s="9"/>
      <c r="T77" s="9"/>
      <c r="U77" s="9"/>
      <c r="V77" s="9"/>
      <c r="W77" s="9"/>
      <c r="X77" s="9"/>
    </row>
    <row r="78" spans="1:24" x14ac:dyDescent="0.2">
      <c r="A78" s="9"/>
      <c r="B78" s="9"/>
      <c r="C78" s="9"/>
      <c r="D78" s="9"/>
      <c r="E78" s="9"/>
      <c r="F78" s="9"/>
      <c r="G78" s="9"/>
      <c r="H78" s="9"/>
      <c r="I78" s="9"/>
      <c r="J78" s="9"/>
      <c r="K78" s="9"/>
      <c r="L78" s="9"/>
      <c r="M78" s="9"/>
      <c r="N78" s="9"/>
      <c r="O78" s="9"/>
      <c r="P78" s="9"/>
      <c r="Q78" s="9"/>
      <c r="R78" s="9"/>
      <c r="S78" s="9"/>
      <c r="T78" s="9"/>
      <c r="U78" s="9"/>
      <c r="V78" s="9"/>
      <c r="W78" s="9"/>
      <c r="X78" s="9"/>
    </row>
    <row r="79" spans="1:24" x14ac:dyDescent="0.2">
      <c r="A79" s="9"/>
      <c r="B79" s="9"/>
      <c r="C79" s="9"/>
      <c r="D79" s="9"/>
      <c r="E79" s="9"/>
      <c r="F79" s="9"/>
      <c r="G79" s="9"/>
      <c r="H79" s="9"/>
      <c r="I79" s="9"/>
      <c r="J79" s="9"/>
      <c r="K79" s="9"/>
      <c r="L79" s="9"/>
      <c r="M79" s="9"/>
      <c r="N79" s="9"/>
      <c r="O79" s="9"/>
      <c r="P79" s="9"/>
      <c r="Q79" s="9"/>
      <c r="R79" s="9"/>
      <c r="S79" s="9"/>
      <c r="T79" s="9"/>
      <c r="U79" s="9"/>
      <c r="V79" s="9"/>
      <c r="W79" s="9"/>
      <c r="X79" s="9"/>
    </row>
    <row r="80" spans="1:24" x14ac:dyDescent="0.2">
      <c r="A80" s="9"/>
      <c r="B80" s="9"/>
      <c r="C80" s="9"/>
      <c r="D80" s="9"/>
      <c r="E80" s="9"/>
      <c r="F80" s="9"/>
      <c r="G80" s="9"/>
      <c r="H80" s="9"/>
      <c r="I80" s="9"/>
      <c r="J80" s="9"/>
      <c r="K80" s="9"/>
      <c r="L80" s="9"/>
      <c r="M80" s="9"/>
      <c r="N80" s="9"/>
      <c r="O80" s="9"/>
      <c r="P80" s="9"/>
      <c r="Q80" s="9"/>
      <c r="R80" s="9"/>
      <c r="S80" s="9"/>
      <c r="T80" s="9"/>
      <c r="U80" s="9"/>
      <c r="V80" s="9"/>
      <c r="W80" s="9"/>
      <c r="X80" s="9"/>
    </row>
    <row r="81" spans="1:24" x14ac:dyDescent="0.2">
      <c r="A81" s="9"/>
      <c r="B81" s="9"/>
      <c r="C81" s="9"/>
      <c r="D81" s="9"/>
      <c r="E81" s="9"/>
      <c r="F81" s="9"/>
      <c r="G81" s="9"/>
      <c r="H81" s="9"/>
      <c r="I81" s="9"/>
      <c r="J81" s="9"/>
      <c r="K81" s="9"/>
      <c r="L81" s="9"/>
      <c r="M81" s="9"/>
      <c r="N81" s="9"/>
      <c r="O81" s="9"/>
      <c r="P81" s="9"/>
      <c r="Q81" s="9"/>
      <c r="R81" s="9"/>
      <c r="S81" s="9"/>
      <c r="T81" s="9"/>
      <c r="U81" s="9"/>
      <c r="V81" s="9"/>
      <c r="W81" s="9"/>
      <c r="X81" s="9"/>
    </row>
    <row r="82" spans="1:24" x14ac:dyDescent="0.2">
      <c r="A82" s="9"/>
      <c r="B82" s="9"/>
      <c r="C82" s="9"/>
      <c r="D82" s="9"/>
      <c r="E82" s="9"/>
      <c r="F82" s="9"/>
      <c r="G82" s="9"/>
      <c r="H82" s="9"/>
      <c r="I82" s="9"/>
      <c r="J82" s="9"/>
      <c r="K82" s="9"/>
      <c r="L82" s="9"/>
      <c r="M82" s="9"/>
      <c r="N82" s="9"/>
      <c r="O82" s="9"/>
      <c r="P82" s="9"/>
      <c r="Q82" s="9"/>
      <c r="R82" s="9"/>
      <c r="S82" s="9"/>
      <c r="T82" s="9"/>
      <c r="U82" s="9"/>
      <c r="V82" s="9"/>
      <c r="W82" s="9"/>
      <c r="X82" s="9"/>
    </row>
    <row r="83" spans="1:24" x14ac:dyDescent="0.2">
      <c r="A83" s="9"/>
      <c r="B83" s="9"/>
      <c r="C83" s="9"/>
      <c r="D83" s="9"/>
      <c r="E83" s="9"/>
      <c r="F83" s="9"/>
      <c r="G83" s="9"/>
      <c r="H83" s="9"/>
      <c r="I83" s="9"/>
      <c r="J83" s="9"/>
      <c r="K83" s="9"/>
      <c r="L83" s="9"/>
      <c r="M83" s="9"/>
      <c r="N83" s="9"/>
      <c r="O83" s="9"/>
      <c r="P83" s="9"/>
      <c r="Q83" s="9"/>
      <c r="R83" s="9"/>
      <c r="S83" s="9"/>
      <c r="T83" s="9"/>
      <c r="U83" s="9"/>
      <c r="V83" s="9"/>
      <c r="W83" s="9"/>
      <c r="X83" s="9"/>
    </row>
    <row r="84" spans="1:24" x14ac:dyDescent="0.2">
      <c r="A84" s="9"/>
      <c r="B84" s="9"/>
      <c r="C84" s="9"/>
      <c r="D84" s="9"/>
      <c r="E84" s="9"/>
      <c r="F84" s="9"/>
      <c r="G84" s="9"/>
      <c r="H84" s="9"/>
      <c r="I84" s="9"/>
      <c r="J84" s="9"/>
      <c r="K84" s="9"/>
      <c r="L84" s="9"/>
      <c r="M84" s="9"/>
      <c r="N84" s="9"/>
      <c r="O84" s="9"/>
      <c r="P84" s="9"/>
      <c r="Q84" s="9"/>
      <c r="R84" s="9"/>
      <c r="S84" s="9"/>
      <c r="T84" s="9"/>
      <c r="U84" s="9"/>
      <c r="V84" s="9"/>
      <c r="W84" s="9"/>
      <c r="X84" s="9"/>
    </row>
    <row r="85" spans="1:24" x14ac:dyDescent="0.2">
      <c r="A85" s="9"/>
      <c r="B85" s="9"/>
      <c r="C85" s="9"/>
      <c r="D85" s="9"/>
      <c r="E85" s="9"/>
      <c r="F85" s="9"/>
      <c r="G85" s="9"/>
      <c r="H85" s="9"/>
      <c r="I85" s="9"/>
      <c r="J85" s="9"/>
      <c r="K85" s="9"/>
      <c r="L85" s="9"/>
      <c r="M85" s="9"/>
      <c r="N85" s="9"/>
      <c r="O85" s="9"/>
      <c r="P85" s="9"/>
      <c r="Q85" s="9"/>
      <c r="R85" s="9"/>
      <c r="S85" s="9"/>
      <c r="T85" s="9"/>
      <c r="U85" s="9"/>
      <c r="V85" s="9"/>
      <c r="W85" s="9"/>
      <c r="X85" s="9"/>
    </row>
    <row r="86" spans="1:24" x14ac:dyDescent="0.2">
      <c r="A86" s="9"/>
      <c r="B86" s="9"/>
      <c r="C86" s="9"/>
      <c r="D86" s="9"/>
      <c r="E86" s="9"/>
      <c r="F86" s="9"/>
      <c r="G86" s="9"/>
      <c r="H86" s="9"/>
      <c r="I86" s="9"/>
      <c r="J86" s="9"/>
      <c r="K86" s="9"/>
      <c r="L86" s="9"/>
      <c r="M86" s="9"/>
      <c r="N86" s="9"/>
      <c r="O86" s="9"/>
      <c r="P86" s="9"/>
      <c r="Q86" s="9"/>
      <c r="R86" s="9"/>
      <c r="S86" s="9"/>
      <c r="T86" s="9"/>
      <c r="U86" s="9"/>
      <c r="V86" s="9"/>
      <c r="W86" s="9"/>
      <c r="X86" s="9"/>
    </row>
    <row r="87" spans="1:24" x14ac:dyDescent="0.2">
      <c r="A87" s="9"/>
      <c r="B87" s="9"/>
      <c r="C87" s="9"/>
      <c r="D87" s="9"/>
      <c r="E87" s="9"/>
      <c r="F87" s="9"/>
      <c r="G87" s="9"/>
      <c r="H87" s="9"/>
      <c r="I87" s="9"/>
      <c r="J87" s="9"/>
      <c r="K87" s="9"/>
      <c r="L87" s="9"/>
      <c r="M87" s="9"/>
      <c r="N87" s="9"/>
      <c r="O87" s="9"/>
      <c r="P87" s="9"/>
      <c r="Q87" s="9"/>
      <c r="R87" s="9"/>
      <c r="S87" s="9"/>
      <c r="T87" s="9"/>
      <c r="U87" s="9"/>
      <c r="V87" s="9"/>
      <c r="W87" s="9"/>
      <c r="X87" s="9"/>
    </row>
    <row r="88" spans="1:24" x14ac:dyDescent="0.2">
      <c r="A88" s="9"/>
      <c r="B88" s="9"/>
      <c r="C88" s="9"/>
      <c r="D88" s="9"/>
      <c r="E88" s="9"/>
      <c r="F88" s="9"/>
      <c r="G88" s="9"/>
      <c r="H88" s="9"/>
      <c r="I88" s="9"/>
      <c r="J88" s="9"/>
      <c r="K88" s="9"/>
      <c r="L88" s="9"/>
      <c r="M88" s="9"/>
      <c r="N88" s="9"/>
      <c r="O88" s="9"/>
      <c r="P88" s="9"/>
      <c r="Q88" s="9"/>
      <c r="R88" s="9"/>
      <c r="S88" s="9"/>
      <c r="T88" s="9"/>
      <c r="U88" s="9"/>
      <c r="V88" s="9"/>
      <c r="W88" s="9"/>
      <c r="X88" s="9"/>
    </row>
    <row r="89" spans="1:24" x14ac:dyDescent="0.2">
      <c r="A89" s="9"/>
      <c r="B89" s="9"/>
      <c r="C89" s="9"/>
      <c r="D89" s="9"/>
      <c r="E89" s="9"/>
      <c r="F89" s="9"/>
      <c r="G89" s="9"/>
      <c r="H89" s="9"/>
      <c r="I89" s="9"/>
      <c r="J89" s="9"/>
      <c r="K89" s="9"/>
      <c r="L89" s="9"/>
      <c r="M89" s="9"/>
      <c r="N89" s="9"/>
      <c r="O89" s="9"/>
      <c r="P89" s="9"/>
      <c r="Q89" s="9"/>
      <c r="R89" s="9"/>
      <c r="S89" s="9"/>
      <c r="T89" s="9"/>
      <c r="U89" s="9"/>
      <c r="V89" s="9"/>
      <c r="W89" s="9"/>
      <c r="X89" s="9"/>
    </row>
    <row r="90" spans="1:24" x14ac:dyDescent="0.2">
      <c r="A90" s="9"/>
      <c r="B90" s="9"/>
      <c r="C90" s="9"/>
      <c r="D90" s="9"/>
      <c r="E90" s="9"/>
      <c r="F90" s="9"/>
      <c r="G90" s="9"/>
      <c r="H90" s="9"/>
      <c r="I90" s="9"/>
      <c r="J90" s="9"/>
      <c r="K90" s="9"/>
      <c r="L90" s="9"/>
      <c r="M90" s="9"/>
      <c r="N90" s="9"/>
      <c r="O90" s="9"/>
      <c r="P90" s="9"/>
      <c r="Q90" s="9"/>
      <c r="R90" s="9"/>
      <c r="S90" s="9"/>
      <c r="T90" s="9"/>
      <c r="U90" s="9"/>
      <c r="V90" s="9"/>
      <c r="W90" s="9"/>
      <c r="X90" s="9"/>
    </row>
    <row r="91" spans="1:24" x14ac:dyDescent="0.2">
      <c r="A91" s="9"/>
      <c r="B91" s="9"/>
      <c r="C91" s="9"/>
      <c r="D91" s="9"/>
      <c r="E91" s="9"/>
      <c r="F91" s="9"/>
      <c r="G91" s="9"/>
      <c r="H91" s="9"/>
      <c r="I91" s="9"/>
      <c r="J91" s="9"/>
      <c r="K91" s="9"/>
      <c r="L91" s="9"/>
      <c r="M91" s="9"/>
      <c r="N91" s="9"/>
      <c r="O91" s="9"/>
      <c r="P91" s="9"/>
      <c r="Q91" s="9"/>
      <c r="R91" s="9"/>
      <c r="S91" s="9"/>
      <c r="T91" s="9"/>
      <c r="U91" s="9"/>
      <c r="V91" s="9"/>
      <c r="W91" s="9"/>
      <c r="X91" s="9"/>
    </row>
    <row r="92" spans="1:24" x14ac:dyDescent="0.2">
      <c r="A92" s="9"/>
      <c r="B92" s="9"/>
      <c r="C92" s="9"/>
      <c r="D92" s="9"/>
      <c r="E92" s="9"/>
      <c r="F92" s="9"/>
      <c r="G92" s="9"/>
      <c r="H92" s="9"/>
      <c r="I92" s="9"/>
      <c r="J92" s="9"/>
      <c r="K92" s="9"/>
      <c r="L92" s="9"/>
      <c r="M92" s="9"/>
      <c r="N92" s="9"/>
      <c r="O92" s="9"/>
      <c r="P92" s="9"/>
      <c r="Q92" s="9"/>
      <c r="R92" s="9"/>
      <c r="S92" s="9"/>
      <c r="T92" s="9"/>
      <c r="U92" s="9"/>
      <c r="V92" s="9"/>
      <c r="W92" s="9"/>
      <c r="X92" s="9"/>
    </row>
    <row r="93" spans="1:24" x14ac:dyDescent="0.2">
      <c r="A93" s="9"/>
      <c r="B93" s="9"/>
      <c r="C93" s="9"/>
      <c r="D93" s="9"/>
      <c r="E93" s="9"/>
      <c r="F93" s="9"/>
      <c r="G93" s="9"/>
      <c r="H93" s="9"/>
      <c r="I93" s="9"/>
      <c r="J93" s="9"/>
      <c r="K93" s="9"/>
      <c r="L93" s="9"/>
      <c r="M93" s="9"/>
      <c r="N93" s="9"/>
      <c r="O93" s="9"/>
      <c r="P93" s="9"/>
      <c r="Q93" s="9"/>
      <c r="R93" s="9"/>
      <c r="S93" s="9"/>
      <c r="T93" s="9"/>
      <c r="U93" s="9"/>
      <c r="V93" s="9"/>
      <c r="W93" s="9"/>
      <c r="X93" s="9"/>
    </row>
    <row r="94" spans="1:24" x14ac:dyDescent="0.2">
      <c r="A94" s="9"/>
      <c r="B94" s="9"/>
      <c r="C94" s="9"/>
      <c r="D94" s="9"/>
      <c r="E94" s="9"/>
      <c r="F94" s="9"/>
      <c r="G94" s="9"/>
      <c r="H94" s="9"/>
      <c r="I94" s="9"/>
      <c r="J94" s="9"/>
      <c r="K94" s="9"/>
      <c r="L94" s="9"/>
      <c r="M94" s="9"/>
      <c r="N94" s="9"/>
      <c r="O94" s="9"/>
      <c r="P94" s="9"/>
      <c r="Q94" s="9"/>
      <c r="R94" s="9"/>
      <c r="S94" s="9"/>
      <c r="T94" s="9"/>
      <c r="U94" s="9"/>
      <c r="V94" s="9"/>
      <c r="W94" s="9"/>
      <c r="X94" s="9"/>
    </row>
    <row r="95" spans="1:24" x14ac:dyDescent="0.2">
      <c r="A95" s="9"/>
      <c r="B95" s="9"/>
      <c r="C95" s="9"/>
      <c r="D95" s="9"/>
      <c r="E95" s="9"/>
      <c r="F95" s="9"/>
      <c r="G95" s="9"/>
      <c r="H95" s="9"/>
      <c r="I95" s="9"/>
      <c r="J95" s="9"/>
      <c r="K95" s="9"/>
      <c r="L95" s="9"/>
      <c r="M95" s="9"/>
      <c r="N95" s="9"/>
      <c r="O95" s="9"/>
      <c r="P95" s="9"/>
      <c r="Q95" s="9"/>
      <c r="R95" s="9"/>
      <c r="S95" s="9"/>
      <c r="T95" s="9"/>
      <c r="U95" s="9"/>
      <c r="V95" s="9"/>
      <c r="W95" s="9"/>
      <c r="X95" s="9"/>
    </row>
    <row r="96" spans="1:24" x14ac:dyDescent="0.2">
      <c r="A96" s="9"/>
      <c r="B96" s="9"/>
      <c r="C96" s="9"/>
      <c r="D96" s="9"/>
      <c r="E96" s="9"/>
      <c r="F96" s="9"/>
      <c r="G96" s="9"/>
      <c r="H96" s="9"/>
      <c r="I96" s="9"/>
      <c r="J96" s="9"/>
      <c r="K96" s="9"/>
      <c r="L96" s="9"/>
      <c r="M96" s="9"/>
      <c r="N96" s="9"/>
      <c r="O96" s="9"/>
      <c r="P96" s="9"/>
      <c r="Q96" s="9"/>
      <c r="R96" s="9"/>
      <c r="S96" s="9"/>
      <c r="T96" s="9"/>
      <c r="U96" s="9"/>
      <c r="V96" s="9"/>
      <c r="W96" s="9"/>
      <c r="X96" s="9"/>
    </row>
    <row r="97" spans="1:24" x14ac:dyDescent="0.2">
      <c r="A97" s="9"/>
      <c r="B97" s="9"/>
      <c r="C97" s="9"/>
      <c r="D97" s="9"/>
      <c r="E97" s="9"/>
      <c r="F97" s="9"/>
      <c r="G97" s="9"/>
      <c r="H97" s="9"/>
      <c r="I97" s="9"/>
      <c r="J97" s="9"/>
      <c r="K97" s="9"/>
      <c r="L97" s="9"/>
      <c r="M97" s="9"/>
      <c r="N97" s="9"/>
      <c r="O97" s="9"/>
      <c r="P97" s="9"/>
      <c r="Q97" s="9"/>
      <c r="R97" s="9"/>
      <c r="S97" s="9"/>
      <c r="T97" s="9"/>
      <c r="U97" s="9"/>
      <c r="V97" s="9"/>
      <c r="W97" s="9"/>
      <c r="X97" s="9"/>
    </row>
    <row r="98" spans="1:24" x14ac:dyDescent="0.2">
      <c r="A98" s="9"/>
      <c r="B98" s="9"/>
      <c r="C98" s="9"/>
      <c r="D98" s="9"/>
      <c r="E98" s="9"/>
      <c r="F98" s="9"/>
      <c r="G98" s="9"/>
      <c r="H98" s="9"/>
      <c r="I98" s="9"/>
      <c r="J98" s="9"/>
      <c r="K98" s="9"/>
      <c r="L98" s="9"/>
      <c r="M98" s="9"/>
      <c r="N98" s="9"/>
      <c r="O98" s="9"/>
      <c r="P98" s="9"/>
      <c r="Q98" s="9"/>
      <c r="R98" s="9"/>
      <c r="S98" s="9"/>
      <c r="T98" s="9"/>
      <c r="U98" s="9"/>
      <c r="V98" s="9"/>
      <c r="W98" s="9"/>
      <c r="X98" s="9"/>
    </row>
    <row r="99" spans="1:24" x14ac:dyDescent="0.2">
      <c r="A99" s="9"/>
      <c r="B99" s="9"/>
      <c r="C99" s="9"/>
      <c r="D99" s="9"/>
      <c r="E99" s="9"/>
      <c r="F99" s="9"/>
      <c r="G99" s="9"/>
      <c r="H99" s="9"/>
      <c r="I99" s="9"/>
      <c r="J99" s="9"/>
      <c r="K99" s="9"/>
      <c r="L99" s="9"/>
      <c r="M99" s="9"/>
      <c r="N99" s="9"/>
      <c r="O99" s="9"/>
      <c r="P99" s="9"/>
      <c r="Q99" s="9"/>
      <c r="R99" s="9"/>
      <c r="S99" s="9"/>
      <c r="T99" s="9"/>
      <c r="U99" s="9"/>
      <c r="V99" s="9"/>
      <c r="W99" s="9"/>
      <c r="X99" s="9"/>
    </row>
    <row r="100" spans="1:24" x14ac:dyDescent="0.2">
      <c r="A100" s="9"/>
      <c r="B100" s="9"/>
      <c r="C100" s="9"/>
      <c r="D100" s="9"/>
      <c r="E100" s="9"/>
      <c r="F100" s="9"/>
      <c r="G100" s="9"/>
      <c r="H100" s="9"/>
      <c r="I100" s="9"/>
      <c r="J100" s="9"/>
      <c r="K100" s="9"/>
      <c r="L100" s="9"/>
      <c r="M100" s="9"/>
      <c r="N100" s="9"/>
      <c r="O100" s="9"/>
      <c r="P100" s="9"/>
      <c r="Q100" s="9"/>
      <c r="R100" s="9"/>
      <c r="S100" s="9"/>
      <c r="T100" s="9"/>
      <c r="U100" s="9"/>
      <c r="V100" s="9"/>
      <c r="W100" s="9"/>
      <c r="X100" s="9"/>
    </row>
    <row r="101" spans="1:24" x14ac:dyDescent="0.2">
      <c r="A101" s="9"/>
      <c r="B101" s="9"/>
      <c r="C101" s="9"/>
      <c r="D101" s="9"/>
      <c r="E101" s="9"/>
      <c r="F101" s="9"/>
      <c r="G101" s="9"/>
      <c r="H101" s="9"/>
      <c r="I101" s="9"/>
      <c r="J101" s="9"/>
      <c r="K101" s="9"/>
      <c r="L101" s="9"/>
      <c r="M101" s="9"/>
      <c r="N101" s="9"/>
      <c r="O101" s="9"/>
      <c r="P101" s="9"/>
      <c r="Q101" s="9"/>
      <c r="R101" s="9"/>
      <c r="S101" s="9"/>
      <c r="T101" s="9"/>
      <c r="U101" s="9"/>
      <c r="V101" s="9"/>
      <c r="W101" s="9"/>
      <c r="X101" s="9"/>
    </row>
    <row r="102" spans="1:24" x14ac:dyDescent="0.2">
      <c r="A102" s="9"/>
      <c r="B102" s="9"/>
      <c r="C102" s="9"/>
      <c r="D102" s="9"/>
      <c r="E102" s="9"/>
      <c r="F102" s="9"/>
      <c r="G102" s="9"/>
      <c r="H102" s="9"/>
      <c r="I102" s="9"/>
      <c r="J102" s="9"/>
      <c r="K102" s="9"/>
      <c r="L102" s="9"/>
      <c r="M102" s="9"/>
      <c r="N102" s="9"/>
      <c r="O102" s="9"/>
      <c r="P102" s="9"/>
      <c r="Q102" s="9"/>
      <c r="R102" s="9"/>
      <c r="S102" s="9"/>
      <c r="T102" s="9"/>
      <c r="U102" s="9"/>
      <c r="V102" s="9"/>
      <c r="W102" s="9"/>
      <c r="X102" s="9"/>
    </row>
    <row r="103" spans="1:24" x14ac:dyDescent="0.2">
      <c r="A103" s="9"/>
      <c r="B103" s="9"/>
      <c r="C103" s="9"/>
      <c r="D103" s="9"/>
      <c r="E103" s="9"/>
      <c r="F103" s="9"/>
      <c r="G103" s="9"/>
      <c r="H103" s="9"/>
      <c r="I103" s="9"/>
      <c r="J103" s="9"/>
      <c r="K103" s="9"/>
      <c r="L103" s="9"/>
      <c r="M103" s="9"/>
      <c r="N103" s="9"/>
      <c r="O103" s="9"/>
      <c r="P103" s="9"/>
      <c r="Q103" s="9"/>
      <c r="R103" s="9"/>
      <c r="S103" s="9"/>
      <c r="T103" s="9"/>
      <c r="U103" s="9"/>
      <c r="V103" s="9"/>
      <c r="W103" s="9"/>
      <c r="X103" s="9"/>
    </row>
    <row r="104" spans="1:24" x14ac:dyDescent="0.2">
      <c r="A104" s="9"/>
      <c r="B104" s="9"/>
      <c r="C104" s="9"/>
      <c r="D104" s="9"/>
      <c r="E104" s="9"/>
      <c r="F104" s="9"/>
      <c r="G104" s="9"/>
      <c r="H104" s="9"/>
      <c r="I104" s="9"/>
      <c r="J104" s="9"/>
      <c r="K104" s="9"/>
      <c r="L104" s="9"/>
      <c r="M104" s="9"/>
      <c r="N104" s="9"/>
      <c r="O104" s="9"/>
      <c r="P104" s="9"/>
      <c r="Q104" s="9"/>
      <c r="R104" s="9"/>
      <c r="S104" s="9"/>
      <c r="T104" s="9"/>
      <c r="U104" s="9"/>
      <c r="V104" s="9"/>
      <c r="W104" s="9"/>
      <c r="X104" s="9"/>
    </row>
    <row r="105" spans="1:24" x14ac:dyDescent="0.2">
      <c r="A105" s="9"/>
      <c r="B105" s="9"/>
      <c r="C105" s="9"/>
      <c r="D105" s="9"/>
      <c r="E105" s="9"/>
      <c r="F105" s="9"/>
      <c r="G105" s="9"/>
      <c r="H105" s="9"/>
      <c r="I105" s="9"/>
      <c r="J105" s="9"/>
      <c r="K105" s="9"/>
      <c r="L105" s="9"/>
      <c r="M105" s="9"/>
      <c r="N105" s="9"/>
      <c r="O105" s="9"/>
      <c r="P105" s="9"/>
      <c r="Q105" s="9"/>
      <c r="R105" s="9"/>
      <c r="S105" s="9"/>
      <c r="T105" s="9"/>
      <c r="U105" s="9"/>
      <c r="V105" s="9"/>
      <c r="W105" s="9"/>
      <c r="X105" s="9"/>
    </row>
    <row r="106" spans="1:24" x14ac:dyDescent="0.2">
      <c r="A106" s="9"/>
      <c r="B106" s="9"/>
      <c r="C106" s="9"/>
      <c r="D106" s="9"/>
      <c r="E106" s="9"/>
      <c r="F106" s="9"/>
      <c r="G106" s="9"/>
      <c r="H106" s="9"/>
      <c r="I106" s="9"/>
      <c r="J106" s="9"/>
      <c r="K106" s="9"/>
      <c r="L106" s="9"/>
      <c r="M106" s="9"/>
      <c r="N106" s="9"/>
      <c r="O106" s="9"/>
      <c r="P106" s="9"/>
      <c r="Q106" s="9"/>
      <c r="R106" s="9"/>
      <c r="S106" s="9"/>
      <c r="T106" s="9"/>
      <c r="U106" s="9"/>
      <c r="V106" s="9"/>
      <c r="W106" s="9"/>
      <c r="X106" s="9"/>
    </row>
    <row r="107" spans="1:24" x14ac:dyDescent="0.2">
      <c r="A107" s="9"/>
      <c r="B107" s="9"/>
      <c r="C107" s="9"/>
      <c r="D107" s="9"/>
      <c r="E107" s="9"/>
      <c r="F107" s="9"/>
      <c r="G107" s="9"/>
      <c r="H107" s="9"/>
      <c r="I107" s="9"/>
      <c r="J107" s="9"/>
      <c r="K107" s="9"/>
      <c r="L107" s="9"/>
      <c r="M107" s="9"/>
      <c r="N107" s="9"/>
      <c r="O107" s="9"/>
      <c r="P107" s="9"/>
      <c r="Q107" s="9"/>
      <c r="R107" s="9"/>
      <c r="S107" s="9"/>
      <c r="T107" s="9"/>
      <c r="U107" s="9"/>
      <c r="V107" s="9"/>
      <c r="W107" s="9"/>
      <c r="X107" s="9"/>
    </row>
    <row r="108" spans="1:24" x14ac:dyDescent="0.2">
      <c r="A108" s="9"/>
      <c r="B108" s="9"/>
      <c r="C108" s="9"/>
      <c r="D108" s="9"/>
      <c r="E108" s="9"/>
      <c r="F108" s="9"/>
      <c r="G108" s="9"/>
      <c r="H108" s="9"/>
      <c r="I108" s="9"/>
      <c r="J108" s="9"/>
      <c r="K108" s="9"/>
      <c r="L108" s="9"/>
      <c r="M108" s="9"/>
      <c r="N108" s="9"/>
      <c r="O108" s="9"/>
      <c r="P108" s="9"/>
      <c r="Q108" s="9"/>
      <c r="R108" s="9"/>
      <c r="S108" s="9"/>
      <c r="T108" s="9"/>
      <c r="U108" s="9"/>
      <c r="V108" s="9"/>
      <c r="W108" s="9"/>
      <c r="X108" s="9"/>
    </row>
    <row r="109" spans="1:24" x14ac:dyDescent="0.2">
      <c r="A109" s="9"/>
      <c r="B109" s="9"/>
      <c r="C109" s="9"/>
      <c r="D109" s="9"/>
      <c r="E109" s="9"/>
      <c r="F109" s="9"/>
      <c r="G109" s="9"/>
      <c r="H109" s="9"/>
      <c r="I109" s="9"/>
      <c r="J109" s="9"/>
      <c r="K109" s="9"/>
      <c r="L109" s="9"/>
      <c r="M109" s="9"/>
      <c r="N109" s="9"/>
      <c r="O109" s="9"/>
      <c r="P109" s="9"/>
      <c r="Q109" s="9"/>
      <c r="R109" s="9"/>
      <c r="S109" s="9"/>
      <c r="T109" s="9"/>
      <c r="U109" s="9"/>
      <c r="V109" s="9"/>
      <c r="W109" s="9"/>
      <c r="X109" s="9"/>
    </row>
    <row r="110" spans="1:24" x14ac:dyDescent="0.2">
      <c r="A110" s="9"/>
      <c r="B110" s="9"/>
      <c r="C110" s="9"/>
      <c r="D110" s="9"/>
      <c r="E110" s="9"/>
      <c r="F110" s="9"/>
      <c r="G110" s="9"/>
      <c r="H110" s="9"/>
      <c r="I110" s="9"/>
      <c r="J110" s="9"/>
      <c r="K110" s="9"/>
      <c r="L110" s="9"/>
      <c r="M110" s="9"/>
      <c r="N110" s="9"/>
      <c r="O110" s="9"/>
      <c r="P110" s="9"/>
      <c r="Q110" s="9"/>
      <c r="R110" s="9"/>
      <c r="S110" s="9"/>
      <c r="T110" s="9"/>
      <c r="U110" s="9"/>
      <c r="V110" s="9"/>
      <c r="W110" s="9"/>
      <c r="X110" s="9"/>
    </row>
    <row r="111" spans="1:24" x14ac:dyDescent="0.2">
      <c r="A111" s="9"/>
      <c r="B111" s="9"/>
      <c r="C111" s="9"/>
      <c r="D111" s="9"/>
      <c r="E111" s="9"/>
      <c r="F111" s="9"/>
      <c r="G111" s="9"/>
      <c r="H111" s="9"/>
      <c r="I111" s="9"/>
      <c r="J111" s="9"/>
      <c r="K111" s="9"/>
      <c r="L111" s="9"/>
      <c r="M111" s="9"/>
      <c r="N111" s="9"/>
      <c r="O111" s="9"/>
      <c r="P111" s="9"/>
      <c r="Q111" s="9"/>
      <c r="R111" s="9"/>
      <c r="S111" s="9"/>
      <c r="T111" s="9"/>
      <c r="U111" s="9"/>
      <c r="V111" s="9"/>
      <c r="W111" s="9"/>
      <c r="X111" s="9"/>
    </row>
    <row r="112" spans="1:24" x14ac:dyDescent="0.2">
      <c r="A112" s="9"/>
      <c r="B112" s="9"/>
      <c r="C112" s="9"/>
      <c r="D112" s="9"/>
      <c r="E112" s="9"/>
      <c r="F112" s="9"/>
      <c r="G112" s="9"/>
      <c r="H112" s="9"/>
      <c r="I112" s="9"/>
      <c r="J112" s="9"/>
      <c r="K112" s="9"/>
      <c r="L112" s="9"/>
      <c r="M112" s="9"/>
      <c r="N112" s="9"/>
      <c r="O112" s="9"/>
      <c r="P112" s="9"/>
      <c r="Q112" s="9"/>
      <c r="R112" s="9"/>
      <c r="S112" s="9"/>
      <c r="T112" s="9"/>
      <c r="U112" s="9"/>
      <c r="V112" s="9"/>
      <c r="W112" s="9"/>
      <c r="X112" s="9"/>
    </row>
    <row r="113" spans="1:24" x14ac:dyDescent="0.2">
      <c r="A113" s="9"/>
      <c r="B113" s="9"/>
      <c r="C113" s="9"/>
      <c r="D113" s="9"/>
      <c r="E113" s="9"/>
      <c r="F113" s="9"/>
      <c r="G113" s="9"/>
      <c r="H113" s="9"/>
      <c r="I113" s="9"/>
      <c r="J113" s="9"/>
      <c r="K113" s="9"/>
      <c r="L113" s="9"/>
      <c r="M113" s="9"/>
      <c r="N113" s="9"/>
      <c r="O113" s="9"/>
      <c r="P113" s="9"/>
      <c r="Q113" s="9"/>
      <c r="R113" s="9"/>
      <c r="S113" s="9"/>
      <c r="T113" s="9"/>
      <c r="U113" s="9"/>
      <c r="V113" s="9"/>
      <c r="W113" s="9"/>
      <c r="X113" s="9"/>
    </row>
    <row r="114" spans="1:24" x14ac:dyDescent="0.2">
      <c r="A114" s="9"/>
      <c r="B114" s="9"/>
      <c r="C114" s="9"/>
      <c r="D114" s="9"/>
      <c r="E114" s="9"/>
      <c r="F114" s="9"/>
      <c r="G114" s="9"/>
      <c r="H114" s="9"/>
      <c r="I114" s="9"/>
      <c r="J114" s="9"/>
      <c r="K114" s="9"/>
      <c r="L114" s="9"/>
      <c r="M114" s="9"/>
      <c r="N114" s="9"/>
      <c r="O114" s="9"/>
      <c r="P114" s="9"/>
      <c r="Q114" s="9"/>
      <c r="R114" s="9"/>
      <c r="S114" s="9"/>
      <c r="T114" s="9"/>
      <c r="U114" s="9"/>
      <c r="V114" s="9"/>
      <c r="W114" s="9"/>
      <c r="X114" s="9"/>
    </row>
    <row r="115" spans="1:24" x14ac:dyDescent="0.2">
      <c r="A115" s="9"/>
      <c r="B115" s="9"/>
      <c r="C115" s="9"/>
      <c r="D115" s="9"/>
      <c r="E115" s="9"/>
      <c r="F115" s="9"/>
      <c r="G115" s="9"/>
      <c r="H115" s="9"/>
      <c r="I115" s="9"/>
      <c r="J115" s="9"/>
      <c r="K115" s="9"/>
      <c r="L115" s="9"/>
      <c r="M115" s="9"/>
      <c r="N115" s="9"/>
      <c r="O115" s="9"/>
      <c r="P115" s="9"/>
      <c r="Q115" s="9"/>
      <c r="R115" s="9"/>
      <c r="S115" s="9"/>
      <c r="T115" s="9"/>
      <c r="U115" s="9"/>
      <c r="V115" s="9"/>
      <c r="W115" s="9"/>
      <c r="X115" s="9"/>
    </row>
    <row r="116" spans="1:24" x14ac:dyDescent="0.2">
      <c r="A116" s="9"/>
      <c r="B116" s="9"/>
      <c r="C116" s="9"/>
      <c r="D116" s="9"/>
      <c r="E116" s="9"/>
      <c r="F116" s="9"/>
      <c r="G116" s="9"/>
      <c r="H116" s="9"/>
      <c r="I116" s="9"/>
      <c r="J116" s="9"/>
      <c r="K116" s="9"/>
      <c r="L116" s="9"/>
      <c r="M116" s="9"/>
      <c r="N116" s="9"/>
      <c r="O116" s="9"/>
      <c r="P116" s="9"/>
      <c r="Q116" s="9"/>
      <c r="R116" s="9"/>
      <c r="S116" s="9"/>
      <c r="T116" s="9"/>
      <c r="U116" s="9"/>
      <c r="V116" s="9"/>
      <c r="W116" s="9"/>
      <c r="X116" s="9"/>
    </row>
    <row r="117" spans="1:24" x14ac:dyDescent="0.2">
      <c r="A117" s="9"/>
      <c r="B117" s="9"/>
      <c r="C117" s="9"/>
      <c r="D117" s="9"/>
      <c r="E117" s="9"/>
      <c r="F117" s="9"/>
      <c r="G117" s="9"/>
      <c r="H117" s="9"/>
      <c r="I117" s="9"/>
      <c r="J117" s="9"/>
      <c r="K117" s="9"/>
      <c r="L117" s="9"/>
      <c r="M117" s="9"/>
      <c r="N117" s="9"/>
      <c r="O117" s="9"/>
      <c r="P117" s="9"/>
      <c r="Q117" s="9"/>
      <c r="R117" s="9"/>
      <c r="S117" s="9"/>
      <c r="T117" s="9"/>
      <c r="U117" s="9"/>
      <c r="V117" s="9"/>
      <c r="W117" s="9"/>
      <c r="X117" s="9"/>
    </row>
  </sheetData>
  <mergeCells count="13">
    <mergeCell ref="A7:G7"/>
    <mergeCell ref="A8:G8"/>
    <mergeCell ref="A9:G9"/>
    <mergeCell ref="A10:G10"/>
    <mergeCell ref="A11:G11"/>
    <mergeCell ref="A12:G12"/>
    <mergeCell ref="A19:G19"/>
    <mergeCell ref="A15:G15"/>
    <mergeCell ref="A17:G17"/>
    <mergeCell ref="A13:G13"/>
    <mergeCell ref="A14:G14"/>
    <mergeCell ref="A16:G16"/>
    <mergeCell ref="A18:G18"/>
  </mergeCells>
  <phoneticPr fontId="2" type="noConversion"/>
  <conditionalFormatting sqref="I13:K13">
    <cfRule type="expression" dxfId="6" priority="1" stopIfTrue="1">
      <formula>$K$6=0</formula>
    </cfRule>
    <cfRule type="expression" dxfId="5" priority="2" stopIfTrue="1">
      <formula>$H$13="Решение найдено с желаемой точностью!"</formula>
    </cfRule>
    <cfRule type="expression" dxfId="4" priority="3" stopIfTrue="1">
      <formula>$K$6&gt;0</formula>
    </cfRule>
  </conditionalFormatting>
  <conditionalFormatting sqref="H13">
    <cfRule type="expression" dxfId="3" priority="4" stopIfTrue="1">
      <formula>$K$6=0</formula>
    </cfRule>
    <cfRule type="expression" dxfId="2" priority="5" stopIfTrue="1">
      <formula>$H$13="Решение найдено с желаемой точностью!"</formula>
    </cfRule>
    <cfRule type="expression" dxfId="1" priority="6" stopIfTrue="1">
      <formula>$K$6&gt;0</formula>
    </cfRule>
  </conditionalFormatting>
  <conditionalFormatting sqref="H14:H18">
    <cfRule type="expression" dxfId="0" priority="7" stopIfTrue="1">
      <formula>$H$13="Решение найдено с желаемой точностью!"</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72" r:id="rId4" name="List Box 248">
              <controlPr defaultSize="0" autoLine="0" autoPict="0">
                <anchor moveWithCells="1">
                  <from>
                    <xdr:col>6</xdr:col>
                    <xdr:colOff>9525</xdr:colOff>
                    <xdr:row>3</xdr:row>
                    <xdr:rowOff>304800</xdr:rowOff>
                  </from>
                  <to>
                    <xdr:col>8</xdr:col>
                    <xdr:colOff>9525</xdr:colOff>
                    <xdr:row>5</xdr:row>
                    <xdr:rowOff>209550</xdr:rowOff>
                  </to>
                </anchor>
              </controlPr>
            </control>
          </mc:Choice>
        </mc:AlternateContent>
        <mc:AlternateContent xmlns:mc="http://schemas.openxmlformats.org/markup-compatibility/2006">
          <mc:Choice Requires="x14">
            <control shapeId="1274" r:id="rId5" name="Drop Down 250">
              <controlPr defaultSize="0" autoLine="0" autoPict="0">
                <anchor moveWithCells="1">
                  <from>
                    <xdr:col>8</xdr:col>
                    <xdr:colOff>9525</xdr:colOff>
                    <xdr:row>5</xdr:row>
                    <xdr:rowOff>9525</xdr:rowOff>
                  </from>
                  <to>
                    <xdr:col>9</xdr:col>
                    <xdr:colOff>0</xdr:colOff>
                    <xdr:row>5</xdr:row>
                    <xdr:rowOff>190500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5"/>
  <dimension ref="A1:H76"/>
  <sheetViews>
    <sheetView topLeftCell="A22" workbookViewId="0">
      <selection activeCell="L46" sqref="L46"/>
    </sheetView>
  </sheetViews>
  <sheetFormatPr defaultRowHeight="12.75" x14ac:dyDescent="0.2"/>
  <cols>
    <col min="1" max="1" width="3.28515625" customWidth="1"/>
    <col min="2" max="2" width="11.140625" customWidth="1"/>
    <col min="3" max="7" width="12.28515625" customWidth="1"/>
    <col min="8" max="8" width="15.28515625" customWidth="1"/>
  </cols>
  <sheetData>
    <row r="1" spans="1:8" ht="18.75" x14ac:dyDescent="0.3">
      <c r="A1" s="51" t="s">
        <v>16</v>
      </c>
      <c r="B1" s="7"/>
      <c r="C1" s="7"/>
      <c r="D1" s="7"/>
      <c r="E1" s="7"/>
      <c r="F1" s="7"/>
      <c r="G1" s="7"/>
      <c r="H1" s="7"/>
    </row>
    <row r="2" spans="1:8" x14ac:dyDescent="0.2">
      <c r="A2" s="52" t="s">
        <v>8</v>
      </c>
      <c r="B2" s="7"/>
      <c r="C2" s="7"/>
      <c r="D2" s="7"/>
      <c r="E2" s="7"/>
      <c r="F2" s="7"/>
      <c r="G2" s="7"/>
      <c r="H2" s="7"/>
    </row>
    <row r="3" spans="1:8" x14ac:dyDescent="0.2">
      <c r="A3" s="52" t="s">
        <v>9</v>
      </c>
      <c r="B3" s="7"/>
      <c r="C3" s="7"/>
      <c r="D3" s="7"/>
      <c r="E3" s="7"/>
      <c r="F3" s="7"/>
      <c r="G3" s="7"/>
      <c r="H3" s="7"/>
    </row>
    <row r="4" spans="1:8" x14ac:dyDescent="0.2">
      <c r="A4" s="53" t="s">
        <v>48</v>
      </c>
    </row>
    <row r="5" spans="1:8" x14ac:dyDescent="0.2">
      <c r="A5" t="s">
        <v>49</v>
      </c>
    </row>
    <row r="6" spans="1:8" x14ac:dyDescent="0.2">
      <c r="A6" t="s">
        <v>50</v>
      </c>
    </row>
    <row r="7" spans="1:8" x14ac:dyDescent="0.2">
      <c r="A7" t="s">
        <v>51</v>
      </c>
    </row>
    <row r="8" spans="1:8" x14ac:dyDescent="0.2">
      <c r="A8" t="s">
        <v>55</v>
      </c>
    </row>
    <row r="10" spans="1:8" ht="13.5" thickBot="1" x14ac:dyDescent="0.25">
      <c r="A10" s="54" t="s">
        <v>54</v>
      </c>
      <c r="B10" s="7"/>
      <c r="C10" s="7"/>
      <c r="D10" s="7"/>
      <c r="E10" s="7"/>
      <c r="F10" s="7"/>
      <c r="G10" s="7"/>
      <c r="H10" s="7"/>
    </row>
    <row r="11" spans="1:8" ht="23.25" thickBot="1" x14ac:dyDescent="0.25">
      <c r="A11" s="83" t="s">
        <v>3</v>
      </c>
      <c r="B11" s="83" t="s">
        <v>4</v>
      </c>
      <c r="C11" s="83" t="s">
        <v>6</v>
      </c>
      <c r="D11" s="83" t="s">
        <v>5</v>
      </c>
      <c r="E11" s="83" t="s">
        <v>7</v>
      </c>
      <c r="F11" s="83" t="s">
        <v>52</v>
      </c>
      <c r="G11" s="83" t="s">
        <v>10</v>
      </c>
      <c r="H11" s="83" t="s">
        <v>37</v>
      </c>
    </row>
    <row r="12" spans="1:8" x14ac:dyDescent="0.2">
      <c r="A12" s="65">
        <v>1</v>
      </c>
      <c r="B12" s="66">
        <v>7842.88070884021</v>
      </c>
      <c r="C12" s="67">
        <v>11636315573305.318</v>
      </c>
      <c r="D12" s="67">
        <v>5502589156593001</v>
      </c>
      <c r="E12" s="67">
        <v>8.5759645775260192E+16</v>
      </c>
      <c r="F12" s="67">
        <v>37</v>
      </c>
      <c r="G12" s="84">
        <v>0.1</v>
      </c>
      <c r="H12" s="68">
        <f>sheet4!$I$7-sheet4!$H$7</f>
        <v>100000000000</v>
      </c>
    </row>
    <row r="13" spans="1:8" x14ac:dyDescent="0.2">
      <c r="A13" s="69">
        <v>2</v>
      </c>
      <c r="B13" s="70">
        <v>9090.1604682226243</v>
      </c>
      <c r="C13" s="71">
        <v>5109496064382.2412</v>
      </c>
      <c r="D13" s="71">
        <v>8789153142489361</v>
      </c>
      <c r="E13" s="71">
        <v>3.765698599449712E+16</v>
      </c>
      <c r="F13" s="71">
        <v>42</v>
      </c>
      <c r="G13">
        <f>G12/10</f>
        <v>0.01</v>
      </c>
      <c r="H13" s="72">
        <f>sheet4!$I$7-sheet4!$H$7</f>
        <v>100000000000</v>
      </c>
    </row>
    <row r="14" spans="1:8" x14ac:dyDescent="0.2">
      <c r="A14" s="69">
        <v>3</v>
      </c>
      <c r="B14" s="70">
        <v>8971.9441461640745</v>
      </c>
      <c r="C14" s="71">
        <v>5496433481099.71</v>
      </c>
      <c r="D14" s="71">
        <v>8804979439827918</v>
      </c>
      <c r="E14" s="71">
        <v>4.0508714755704864E+16</v>
      </c>
      <c r="F14" s="71">
        <v>47</v>
      </c>
      <c r="G14" s="84">
        <f t="shared" ref="G14:G24" si="0">G13/10</f>
        <v>1E-3</v>
      </c>
      <c r="H14" s="72">
        <f>sheet4!$I$7-sheet4!$H$7</f>
        <v>100000000000</v>
      </c>
    </row>
    <row r="15" spans="1:8" x14ac:dyDescent="0.2">
      <c r="A15" s="69">
        <v>4</v>
      </c>
      <c r="B15" s="70">
        <v>8979.0505189042688</v>
      </c>
      <c r="C15" s="71">
        <v>5472218644667.8896</v>
      </c>
      <c r="D15" s="71">
        <v>8805076249760494</v>
      </c>
      <c r="E15" s="71">
        <v>4.0330251411202344E+16</v>
      </c>
      <c r="F15" s="71">
        <v>51</v>
      </c>
      <c r="G15" s="84">
        <f t="shared" si="0"/>
        <v>1E-4</v>
      </c>
      <c r="H15" s="72">
        <f>sheet4!$I$7-sheet4!$H$7</f>
        <v>100000000000</v>
      </c>
    </row>
    <row r="16" spans="1:8" x14ac:dyDescent="0.2">
      <c r="A16" s="69">
        <v>5</v>
      </c>
      <c r="B16" s="70">
        <v>8980.2097030394598</v>
      </c>
      <c r="C16" s="71">
        <v>5468280690966.8623</v>
      </c>
      <c r="D16" s="71">
        <v>8805078627538176</v>
      </c>
      <c r="E16" s="71">
        <v>4.0301228692425776E+16</v>
      </c>
      <c r="F16" s="71">
        <v>56</v>
      </c>
      <c r="G16" s="84">
        <f t="shared" si="0"/>
        <v>1.0000000000000001E-5</v>
      </c>
      <c r="H16" s="72">
        <f>sheet4!$I$7-sheet4!$H$7</f>
        <v>100000000000</v>
      </c>
    </row>
    <row r="17" spans="1:8" x14ac:dyDescent="0.2">
      <c r="A17" s="69">
        <v>6</v>
      </c>
      <c r="B17" s="70">
        <v>8980.3788257255364</v>
      </c>
      <c r="C17" s="71">
        <v>5467706430673.6357</v>
      </c>
      <c r="D17" s="71">
        <v>8805078661240188</v>
      </c>
      <c r="E17" s="71">
        <v>4.0296996394064696E+16</v>
      </c>
      <c r="F17" s="71">
        <v>61</v>
      </c>
      <c r="G17" s="84">
        <f t="shared" si="0"/>
        <v>1.0000000000000002E-6</v>
      </c>
      <c r="H17" s="72">
        <f>sheet4!$I$7-sheet4!$H$7</f>
        <v>100000000000</v>
      </c>
    </row>
    <row r="18" spans="1:8" x14ac:dyDescent="0.2">
      <c r="A18" s="69">
        <v>7</v>
      </c>
      <c r="B18" s="70">
        <v>8980.3667958673213</v>
      </c>
      <c r="C18" s="71">
        <v>5467747276007.2344</v>
      </c>
      <c r="D18" s="71">
        <v>8805078661476055</v>
      </c>
      <c r="E18" s="71">
        <v>4.029729742417332E+16</v>
      </c>
      <c r="F18" s="71">
        <v>66</v>
      </c>
      <c r="G18" s="84">
        <f t="shared" si="0"/>
        <v>1.0000000000000002E-7</v>
      </c>
      <c r="H18" s="72">
        <f>sheet4!$I$7-sheet4!$H$7</f>
        <v>100000000000</v>
      </c>
    </row>
    <row r="19" spans="1:8" x14ac:dyDescent="0.2">
      <c r="A19" s="69">
        <v>8</v>
      </c>
      <c r="B19" s="70">
        <v>8980.3659460260369</v>
      </c>
      <c r="C19" s="71">
        <v>5467750161512.1055</v>
      </c>
      <c r="D19" s="71">
        <v>8805078661477469</v>
      </c>
      <c r="E19" s="71">
        <v>4.0297318690344216E+16</v>
      </c>
      <c r="F19" s="71">
        <v>70</v>
      </c>
      <c r="G19" s="84">
        <f t="shared" si="0"/>
        <v>1.0000000000000002E-8</v>
      </c>
      <c r="H19" s="72">
        <f>sheet4!$I$7-sheet4!$H$7</f>
        <v>100000000000</v>
      </c>
    </row>
    <row r="20" spans="1:8" x14ac:dyDescent="0.2">
      <c r="A20" s="69">
        <v>9</v>
      </c>
      <c r="B20" s="70">
        <v>8980.3657796757652</v>
      </c>
      <c r="C20" s="71">
        <v>5467750726328.9561</v>
      </c>
      <c r="D20" s="71">
        <v>8805078661477474</v>
      </c>
      <c r="E20" s="71">
        <v>4.0297322853044408E+16</v>
      </c>
      <c r="F20" s="71">
        <v>75</v>
      </c>
      <c r="G20" s="84">
        <f t="shared" si="0"/>
        <v>1.0000000000000003E-9</v>
      </c>
      <c r="H20" s="72">
        <f>sheet4!$I$7-sheet4!$H$7</f>
        <v>100000000000</v>
      </c>
    </row>
    <row r="21" spans="1:8" x14ac:dyDescent="0.2">
      <c r="A21" s="69">
        <v>10</v>
      </c>
      <c r="B21" s="70">
        <v>8980.3657865855002</v>
      </c>
      <c r="C21" s="71">
        <v>5467750702868.0645</v>
      </c>
      <c r="D21" s="71">
        <v>8805078661477502</v>
      </c>
      <c r="E21" s="71">
        <v>4.0297322680137632E+16</v>
      </c>
      <c r="F21" s="71">
        <v>80</v>
      </c>
      <c r="G21" s="84">
        <f t="shared" si="0"/>
        <v>1.0000000000000003E-10</v>
      </c>
      <c r="H21" s="72">
        <f>sheet4!$I$7-sheet4!$H$7</f>
        <v>100000000000</v>
      </c>
    </row>
    <row r="22" spans="1:8" x14ac:dyDescent="0.2">
      <c r="A22" s="69">
        <v>11</v>
      </c>
      <c r="B22" s="70">
        <v>8980.3657878722533</v>
      </c>
      <c r="C22" s="71">
        <v>5467750698499.0693</v>
      </c>
      <c r="D22" s="71">
        <v>8805078661477530</v>
      </c>
      <c r="E22" s="71">
        <v>4.0297322647938144E+16</v>
      </c>
      <c r="F22" s="71">
        <v>85</v>
      </c>
      <c r="G22" s="84">
        <f t="shared" si="0"/>
        <v>1.0000000000000003E-11</v>
      </c>
      <c r="H22" s="72">
        <f>sheet4!$I$7-sheet4!$H$7</f>
        <v>100000000000</v>
      </c>
    </row>
    <row r="23" spans="1:8" x14ac:dyDescent="0.2">
      <c r="A23" s="69">
        <v>12</v>
      </c>
      <c r="B23" s="1">
        <v>8980.3657877562273</v>
      </c>
      <c r="C23" s="1">
        <v>5467750698892.9766</v>
      </c>
      <c r="D23" s="1">
        <v>8805078661477462</v>
      </c>
      <c r="E23" s="1">
        <v>4.029732265084124E+16</v>
      </c>
      <c r="F23" s="1">
        <v>90</v>
      </c>
      <c r="G23" s="84">
        <f t="shared" si="0"/>
        <v>1.0000000000000002E-12</v>
      </c>
      <c r="H23" s="103">
        <f>sheet4!$I$7-sheet4!$H$7</f>
        <v>100000000000</v>
      </c>
    </row>
    <row r="24" spans="1:8" ht="13.5" thickBot="1" x14ac:dyDescent="0.25">
      <c r="A24" s="73">
        <v>13</v>
      </c>
      <c r="B24" s="5">
        <v>8980.3657877694895</v>
      </c>
      <c r="C24" s="5">
        <v>5467750698847.9873</v>
      </c>
      <c r="D24" s="5">
        <v>8805078661477530</v>
      </c>
      <c r="E24" s="5">
        <v>4.0297322650509664E+16</v>
      </c>
      <c r="F24" s="5">
        <v>94</v>
      </c>
      <c r="G24" s="85">
        <f t="shared" si="0"/>
        <v>1.0000000000000002E-13</v>
      </c>
      <c r="H24" s="104">
        <f>sheet4!$I$7-sheet4!$H$7</f>
        <v>100000000000</v>
      </c>
    </row>
    <row r="25" spans="1:8" x14ac:dyDescent="0.2">
      <c r="A25" s="7"/>
      <c r="B25" s="7"/>
      <c r="C25" s="7"/>
      <c r="D25" s="7"/>
      <c r="E25" s="7"/>
      <c r="F25" s="7"/>
      <c r="G25" s="82"/>
    </row>
    <row r="26" spans="1:8" ht="13.5" thickBot="1" x14ac:dyDescent="0.25">
      <c r="A26" s="54" t="s">
        <v>53</v>
      </c>
      <c r="B26" s="7"/>
      <c r="C26" s="7"/>
      <c r="D26" s="7"/>
      <c r="E26" s="7"/>
      <c r="F26" s="7"/>
      <c r="G26" s="82"/>
      <c r="H26" s="7"/>
    </row>
    <row r="27" spans="1:8" ht="23.25" thickBot="1" x14ac:dyDescent="0.25">
      <c r="A27" s="83" t="s">
        <v>3</v>
      </c>
      <c r="B27" s="83" t="s">
        <v>4</v>
      </c>
      <c r="C27" s="83" t="s">
        <v>6</v>
      </c>
      <c r="D27" s="83" t="s">
        <v>5</v>
      </c>
      <c r="E27" s="83" t="s">
        <v>7</v>
      </c>
      <c r="F27" s="83" t="s">
        <v>52</v>
      </c>
      <c r="G27" s="83" t="s">
        <v>10</v>
      </c>
      <c r="H27" s="83" t="s">
        <v>37</v>
      </c>
    </row>
    <row r="28" spans="1:8" x14ac:dyDescent="0.2">
      <c r="A28" s="65">
        <v>1</v>
      </c>
      <c r="B28" s="66">
        <v>8980.3657877694895</v>
      </c>
      <c r="C28" s="67">
        <v>5467750698847.9873</v>
      </c>
      <c r="D28" s="67">
        <v>8805078661477530</v>
      </c>
      <c r="E28" s="67">
        <v>4.0297322650509664E+16</v>
      </c>
      <c r="F28" s="67">
        <v>94</v>
      </c>
      <c r="G28" s="67">
        <v>1E-13</v>
      </c>
      <c r="H28" s="68">
        <v>100000000000</v>
      </c>
    </row>
    <row r="29" spans="1:8" x14ac:dyDescent="0.2">
      <c r="A29" s="69">
        <v>2</v>
      </c>
      <c r="B29" s="70">
        <v>8980.3658301994674</v>
      </c>
      <c r="C29" s="71">
        <v>5467750554783.5137</v>
      </c>
      <c r="D29" s="71">
        <v>8805078661477500</v>
      </c>
      <c r="E29" s="71">
        <v>4.0297321588754496E+16</v>
      </c>
      <c r="F29" s="71">
        <v>90</v>
      </c>
      <c r="G29" s="71">
        <v>1E-13</v>
      </c>
      <c r="H29" s="72">
        <v>10000000000</v>
      </c>
    </row>
    <row r="30" spans="1:8" x14ac:dyDescent="0.2">
      <c r="A30" s="69">
        <v>3</v>
      </c>
      <c r="B30" s="70">
        <v>8980.3658538035525</v>
      </c>
      <c r="C30" s="71">
        <v>5467750474639.4063</v>
      </c>
      <c r="D30" s="71">
        <v>8805078661477478</v>
      </c>
      <c r="E30" s="71">
        <v>4.0297320998092424E+16</v>
      </c>
      <c r="F30" s="71">
        <v>85</v>
      </c>
      <c r="G30" s="71">
        <v>1E-13</v>
      </c>
      <c r="H30" s="72">
        <v>1000000000</v>
      </c>
    </row>
    <row r="31" spans="1:8" x14ac:dyDescent="0.2">
      <c r="A31" s="69">
        <v>4</v>
      </c>
      <c r="B31" s="70">
        <v>8980.3658140239331</v>
      </c>
      <c r="C31" s="71">
        <v>5467750609705.0059</v>
      </c>
      <c r="D31" s="71">
        <v>8805078661477532</v>
      </c>
      <c r="E31" s="71">
        <v>4.0297321993525896E+16</v>
      </c>
      <c r="F31" s="71">
        <v>80</v>
      </c>
      <c r="G31" s="71">
        <v>1E-13</v>
      </c>
      <c r="H31" s="72">
        <v>100000000</v>
      </c>
    </row>
    <row r="32" spans="1:8" x14ac:dyDescent="0.2">
      <c r="A32" s="69">
        <v>5</v>
      </c>
      <c r="B32" s="70">
        <v>8980.3657287777496</v>
      </c>
      <c r="C32" s="71">
        <v>5467750899145.4453</v>
      </c>
      <c r="D32" s="71">
        <v>8805078661477498</v>
      </c>
      <c r="E32" s="71">
        <v>4.0297324126701928E+16</v>
      </c>
      <c r="F32" s="71">
        <v>75</v>
      </c>
      <c r="G32" s="71">
        <v>1E-13</v>
      </c>
      <c r="H32" s="72">
        <v>10000000</v>
      </c>
    </row>
    <row r="33" spans="1:8" x14ac:dyDescent="0.2">
      <c r="A33" s="69">
        <v>6</v>
      </c>
      <c r="B33" s="70">
        <v>8980.3656947686031</v>
      </c>
      <c r="C33" s="71">
        <v>5467751014618.2939</v>
      </c>
      <c r="D33" s="71">
        <v>8805078661477472</v>
      </c>
      <c r="E33" s="71">
        <v>4.0297324977736824E+16</v>
      </c>
      <c r="F33" s="71">
        <v>70</v>
      </c>
      <c r="G33" s="71">
        <v>1E-13</v>
      </c>
      <c r="H33" s="72">
        <v>1000000</v>
      </c>
    </row>
    <row r="34" spans="1:8" x14ac:dyDescent="0.2">
      <c r="A34" s="69">
        <v>7</v>
      </c>
      <c r="B34" s="70">
        <v>8980.3657973464997</v>
      </c>
      <c r="C34" s="71">
        <v>5467750666330.6855</v>
      </c>
      <c r="D34" s="71">
        <v>8805078661477482</v>
      </c>
      <c r="E34" s="71">
        <v>4.0297322410857152E+16</v>
      </c>
      <c r="F34" s="71">
        <v>66</v>
      </c>
      <c r="G34" s="71">
        <v>1E-13</v>
      </c>
      <c r="H34" s="72">
        <v>100000</v>
      </c>
    </row>
    <row r="35" spans="1:8" x14ac:dyDescent="0.2">
      <c r="A35" s="69">
        <v>8</v>
      </c>
      <c r="B35" s="70">
        <v>8980.3659549007625</v>
      </c>
      <c r="C35" s="71">
        <v>5467750131379.3457</v>
      </c>
      <c r="D35" s="71">
        <v>8805078661477418</v>
      </c>
      <c r="E35" s="71">
        <v>4.0297318468265776E+16</v>
      </c>
      <c r="F35" s="71">
        <v>61</v>
      </c>
      <c r="G35" s="71">
        <v>1E-13</v>
      </c>
      <c r="H35" s="72">
        <v>10000</v>
      </c>
    </row>
    <row r="36" spans="1:8" x14ac:dyDescent="0.2">
      <c r="A36" s="69">
        <v>9</v>
      </c>
      <c r="B36" s="70">
        <v>8980.3659794188698</v>
      </c>
      <c r="C36" s="71">
        <v>5467750048131.8506</v>
      </c>
      <c r="D36" s="71">
        <v>8805078661477433</v>
      </c>
      <c r="E36" s="71">
        <v>4.0297317854731736E+16</v>
      </c>
      <c r="F36" s="71">
        <v>56</v>
      </c>
      <c r="G36" s="71">
        <v>1E-13</v>
      </c>
      <c r="H36" s="72">
        <v>1000</v>
      </c>
    </row>
    <row r="37" spans="1:8" x14ac:dyDescent="0.2">
      <c r="A37" s="69">
        <v>10</v>
      </c>
      <c r="B37" s="70">
        <v>8980.3658263226043</v>
      </c>
      <c r="C37" s="71">
        <v>5467750567946.792</v>
      </c>
      <c r="D37" s="71">
        <v>8805078661477473</v>
      </c>
      <c r="E37" s="71">
        <v>4.0297321685767856E+16</v>
      </c>
      <c r="F37" s="71">
        <v>51</v>
      </c>
      <c r="G37" s="71">
        <v>1E-13</v>
      </c>
      <c r="H37" s="72">
        <v>100</v>
      </c>
    </row>
    <row r="38" spans="1:8" x14ac:dyDescent="0.2">
      <c r="A38" s="69">
        <v>11</v>
      </c>
      <c r="B38" s="70">
        <v>8980.3659210796741</v>
      </c>
      <c r="C38" s="71">
        <v>5467750246213.667</v>
      </c>
      <c r="D38" s="71">
        <v>8805078661477437</v>
      </c>
      <c r="E38" s="71">
        <v>4.0297319314594728E+16</v>
      </c>
      <c r="F38" s="71">
        <v>47</v>
      </c>
      <c r="G38" s="71">
        <v>1E-13</v>
      </c>
      <c r="H38" s="72">
        <v>10</v>
      </c>
    </row>
    <row r="39" spans="1:8" ht="13.5" thickBot="1" x14ac:dyDescent="0.25">
      <c r="A39" s="73">
        <v>12</v>
      </c>
      <c r="B39" s="74">
        <v>8980.3658747219906</v>
      </c>
      <c r="C39" s="75">
        <v>5467750403614.0654</v>
      </c>
      <c r="D39" s="75">
        <v>8805078661477493</v>
      </c>
      <c r="E39" s="75">
        <v>4.0297320474635664E+16</v>
      </c>
      <c r="F39" s="75">
        <v>42</v>
      </c>
      <c r="G39" s="75">
        <v>1E-13</v>
      </c>
      <c r="H39" s="76">
        <v>1</v>
      </c>
    </row>
    <row r="40" spans="1:8" x14ac:dyDescent="0.2">
      <c r="A40" s="9"/>
      <c r="B40" s="55"/>
      <c r="C40" s="9"/>
      <c r="D40" s="9"/>
      <c r="E40" s="9"/>
      <c r="F40" s="9"/>
      <c r="G40" s="9"/>
    </row>
    <row r="41" spans="1:8" x14ac:dyDescent="0.2">
      <c r="A41" s="9"/>
      <c r="B41" s="55"/>
      <c r="C41" s="9"/>
      <c r="D41" s="9"/>
      <c r="E41" s="9"/>
      <c r="F41" s="9"/>
      <c r="G41" s="9"/>
      <c r="H41" s="56"/>
    </row>
    <row r="42" spans="1:8" x14ac:dyDescent="0.2">
      <c r="A42" s="9"/>
      <c r="B42" s="55"/>
      <c r="C42" s="9"/>
      <c r="D42" s="9"/>
      <c r="E42" s="9"/>
      <c r="F42" s="9"/>
      <c r="G42" s="9"/>
      <c r="H42" s="56"/>
    </row>
    <row r="43" spans="1:8" x14ac:dyDescent="0.2">
      <c r="A43" s="9"/>
      <c r="B43" s="55"/>
      <c r="C43" s="9"/>
      <c r="D43" s="9"/>
      <c r="E43" s="9"/>
      <c r="F43" s="9"/>
      <c r="G43" s="9"/>
      <c r="H43" s="56"/>
    </row>
    <row r="44" spans="1:8" x14ac:dyDescent="0.2">
      <c r="A44" s="9"/>
      <c r="B44" s="55"/>
      <c r="C44" s="9"/>
      <c r="D44" s="9"/>
      <c r="E44" s="9"/>
      <c r="F44" s="9"/>
      <c r="G44" s="9"/>
      <c r="H44" s="56"/>
    </row>
    <row r="45" spans="1:8" x14ac:dyDescent="0.2">
      <c r="A45" s="9"/>
      <c r="B45" s="55"/>
      <c r="C45" s="9"/>
      <c r="D45" s="9"/>
      <c r="E45" s="9"/>
      <c r="F45" s="9"/>
      <c r="G45" s="9"/>
      <c r="H45" s="56"/>
    </row>
    <row r="46" spans="1:8" x14ac:dyDescent="0.2">
      <c r="A46" s="9"/>
      <c r="B46" s="55"/>
      <c r="C46" s="9"/>
      <c r="D46" s="9"/>
      <c r="E46" s="9"/>
      <c r="F46" s="9"/>
      <c r="G46" s="9"/>
      <c r="H46" s="56"/>
    </row>
    <row r="47" spans="1:8" x14ac:dyDescent="0.2">
      <c r="A47" s="9"/>
      <c r="B47" s="55"/>
      <c r="C47" s="9"/>
      <c r="D47" s="9"/>
      <c r="E47" s="9"/>
      <c r="F47" s="9"/>
      <c r="G47" s="9"/>
      <c r="H47" s="56"/>
    </row>
    <row r="48" spans="1:8" x14ac:dyDescent="0.2">
      <c r="A48" s="9"/>
      <c r="B48" s="55"/>
      <c r="C48" s="9"/>
      <c r="D48" s="9"/>
      <c r="E48" s="9"/>
      <c r="F48" s="9"/>
      <c r="G48" s="9"/>
      <c r="H48" s="56"/>
    </row>
    <row r="49" spans="1:8" x14ac:dyDescent="0.2">
      <c r="A49" s="9"/>
      <c r="B49" s="55"/>
      <c r="C49" s="9"/>
      <c r="D49" s="9"/>
      <c r="E49" s="9"/>
      <c r="F49" s="9"/>
      <c r="G49" s="9"/>
      <c r="H49" s="56"/>
    </row>
    <row r="50" spans="1:8" x14ac:dyDescent="0.2">
      <c r="A50" s="9"/>
      <c r="B50" s="55"/>
      <c r="C50" s="9"/>
      <c r="D50" s="9"/>
      <c r="E50" s="9"/>
      <c r="F50" s="9"/>
      <c r="G50" s="9"/>
      <c r="H50" s="56"/>
    </row>
    <row r="51" spans="1:8" x14ac:dyDescent="0.2">
      <c r="A51" s="9"/>
      <c r="B51" s="55"/>
      <c r="C51" s="9"/>
      <c r="D51" s="9"/>
      <c r="E51" s="9"/>
      <c r="F51" s="9"/>
      <c r="G51" s="9"/>
      <c r="H51" s="57"/>
    </row>
    <row r="52" spans="1:8" x14ac:dyDescent="0.2">
      <c r="A52" s="9"/>
      <c r="B52" s="55"/>
      <c r="C52" s="9"/>
      <c r="D52" s="9"/>
      <c r="E52" s="9"/>
      <c r="F52" s="9"/>
      <c r="G52" s="9"/>
      <c r="H52" s="57"/>
    </row>
    <row r="53" spans="1:8" x14ac:dyDescent="0.2">
      <c r="A53" s="9"/>
      <c r="B53" s="55"/>
      <c r="C53" s="9"/>
      <c r="D53" s="9"/>
      <c r="E53" s="9"/>
      <c r="F53" s="9"/>
      <c r="G53" s="9"/>
      <c r="H53" s="57"/>
    </row>
    <row r="54" spans="1:8" x14ac:dyDescent="0.2">
      <c r="A54" s="9"/>
      <c r="B54" s="55"/>
      <c r="C54" s="9"/>
      <c r="D54" s="9"/>
      <c r="E54" s="9"/>
      <c r="F54" s="9"/>
      <c r="G54" s="9"/>
      <c r="H54" s="57"/>
    </row>
    <row r="55" spans="1:8" x14ac:dyDescent="0.2">
      <c r="A55" s="9"/>
      <c r="B55" s="55"/>
      <c r="C55" s="9"/>
      <c r="D55" s="9"/>
      <c r="E55" s="9"/>
      <c r="F55" s="9"/>
      <c r="G55" s="9"/>
      <c r="H55" s="57"/>
    </row>
    <row r="56" spans="1:8" x14ac:dyDescent="0.2">
      <c r="A56" s="9"/>
      <c r="B56" s="55"/>
      <c r="C56" s="9"/>
      <c r="D56" s="9"/>
      <c r="E56" s="9"/>
      <c r="F56" s="9"/>
      <c r="G56" s="9"/>
      <c r="H56" s="57"/>
    </row>
    <row r="57" spans="1:8" x14ac:dyDescent="0.2">
      <c r="A57" s="9"/>
      <c r="B57" s="55"/>
      <c r="C57" s="9"/>
      <c r="D57" s="9"/>
      <c r="E57" s="9"/>
      <c r="F57" s="9"/>
      <c r="G57" s="9"/>
      <c r="H57" s="57"/>
    </row>
    <row r="58" spans="1:8" x14ac:dyDescent="0.2">
      <c r="A58" s="9"/>
      <c r="B58" s="55"/>
      <c r="C58" s="9"/>
      <c r="D58" s="9"/>
      <c r="E58" s="9"/>
      <c r="F58" s="9"/>
      <c r="G58" s="9"/>
      <c r="H58" s="57"/>
    </row>
    <row r="59" spans="1:8" x14ac:dyDescent="0.2">
      <c r="A59" s="9"/>
      <c r="B59" s="55"/>
      <c r="C59" s="9"/>
      <c r="D59" s="9"/>
      <c r="E59" s="9"/>
      <c r="F59" s="9"/>
      <c r="G59" s="9"/>
      <c r="H59" s="57"/>
    </row>
    <row r="60" spans="1:8" x14ac:dyDescent="0.2">
      <c r="A60" s="9"/>
      <c r="B60" s="55"/>
      <c r="C60" s="9"/>
      <c r="D60" s="9"/>
      <c r="E60" s="9"/>
      <c r="F60" s="9"/>
      <c r="G60" s="9"/>
      <c r="H60" s="57"/>
    </row>
    <row r="61" spans="1:8" x14ac:dyDescent="0.2">
      <c r="A61" s="7"/>
      <c r="B61" s="7"/>
      <c r="C61" s="7"/>
      <c r="D61" s="7"/>
      <c r="E61" s="7"/>
      <c r="F61" s="7"/>
      <c r="G61" s="7"/>
      <c r="H61" s="7"/>
    </row>
    <row r="62" spans="1:8" x14ac:dyDescent="0.2">
      <c r="A62" s="7"/>
      <c r="B62" s="7"/>
      <c r="C62" s="7"/>
      <c r="D62" s="7"/>
      <c r="E62" s="7"/>
      <c r="F62" s="7"/>
      <c r="G62" s="7"/>
      <c r="H62" s="7"/>
    </row>
    <row r="63" spans="1:8" x14ac:dyDescent="0.2">
      <c r="A63" s="7"/>
      <c r="B63" s="7"/>
      <c r="C63" s="7"/>
      <c r="D63" s="7"/>
      <c r="E63" s="7"/>
      <c r="F63" s="7"/>
      <c r="G63" s="7"/>
      <c r="H63" s="7"/>
    </row>
    <row r="64" spans="1:8" x14ac:dyDescent="0.2">
      <c r="A64" s="7"/>
      <c r="B64" s="7"/>
      <c r="C64" s="7"/>
      <c r="D64" s="7"/>
      <c r="E64" s="7"/>
      <c r="F64" s="7"/>
      <c r="G64" s="7"/>
      <c r="H64" s="7"/>
    </row>
    <row r="65" spans="1:8" x14ac:dyDescent="0.2">
      <c r="A65" s="7"/>
      <c r="B65" s="7"/>
      <c r="C65" s="7"/>
      <c r="D65" s="7"/>
      <c r="E65" s="7"/>
      <c r="F65" s="7"/>
      <c r="G65" s="7"/>
      <c r="H65" s="7"/>
    </row>
    <row r="66" spans="1:8" x14ac:dyDescent="0.2">
      <c r="A66" s="7"/>
      <c r="B66" s="7"/>
      <c r="C66" s="7"/>
      <c r="D66" s="7"/>
      <c r="E66" s="7"/>
      <c r="F66" s="7"/>
      <c r="G66" s="7"/>
      <c r="H66" s="7"/>
    </row>
    <row r="67" spans="1:8" x14ac:dyDescent="0.2">
      <c r="A67" s="7"/>
      <c r="B67" s="7"/>
      <c r="C67" s="7"/>
      <c r="D67" s="7"/>
      <c r="E67" s="7"/>
      <c r="F67" s="7"/>
      <c r="G67" s="7"/>
      <c r="H67" s="7"/>
    </row>
    <row r="68" spans="1:8" x14ac:dyDescent="0.2">
      <c r="A68" s="7"/>
      <c r="B68" s="7"/>
      <c r="C68" s="7"/>
      <c r="D68" s="7"/>
      <c r="E68" s="7"/>
      <c r="F68" s="7"/>
      <c r="G68" s="7"/>
      <c r="H68" s="7"/>
    </row>
    <row r="69" spans="1:8" x14ac:dyDescent="0.2">
      <c r="A69" s="7"/>
      <c r="B69" s="7"/>
      <c r="C69" s="7"/>
      <c r="D69" s="7"/>
      <c r="E69" s="7"/>
      <c r="F69" s="7"/>
      <c r="G69" s="7"/>
      <c r="H69" s="7"/>
    </row>
    <row r="70" spans="1:8" x14ac:dyDescent="0.2">
      <c r="A70" s="7"/>
      <c r="B70" s="7"/>
      <c r="C70" s="7"/>
      <c r="D70" s="7"/>
      <c r="E70" s="7"/>
      <c r="F70" s="7"/>
      <c r="G70" s="7"/>
      <c r="H70" s="7"/>
    </row>
    <row r="71" spans="1:8" x14ac:dyDescent="0.2">
      <c r="A71" s="7"/>
      <c r="B71" s="7"/>
      <c r="C71" s="7"/>
      <c r="D71" s="7"/>
      <c r="E71" s="7"/>
      <c r="F71" s="7"/>
      <c r="G71" s="7"/>
      <c r="H71" s="7"/>
    </row>
    <row r="72" spans="1:8" x14ac:dyDescent="0.2">
      <c r="A72" s="7"/>
      <c r="B72" s="7"/>
      <c r="C72" s="7"/>
      <c r="D72" s="7"/>
      <c r="E72" s="7"/>
      <c r="F72" s="7"/>
      <c r="G72" s="7"/>
      <c r="H72" s="7"/>
    </row>
    <row r="73" spans="1:8" x14ac:dyDescent="0.2">
      <c r="A73" s="7"/>
      <c r="B73" s="7"/>
      <c r="C73" s="7"/>
      <c r="D73" s="7"/>
      <c r="E73" s="7"/>
      <c r="F73" s="7"/>
      <c r="G73" s="7"/>
      <c r="H73" s="7"/>
    </row>
    <row r="74" spans="1:8" x14ac:dyDescent="0.2">
      <c r="A74" s="7"/>
      <c r="B74" s="7"/>
      <c r="C74" s="7"/>
      <c r="D74" s="7"/>
      <c r="E74" s="7"/>
      <c r="F74" s="7"/>
      <c r="G74" s="7"/>
      <c r="H74" s="7"/>
    </row>
    <row r="75" spans="1:8" x14ac:dyDescent="0.2">
      <c r="A75" s="7"/>
      <c r="B75" s="7"/>
      <c r="C75" s="7"/>
      <c r="D75" s="7"/>
      <c r="E75" s="7"/>
      <c r="F75" s="7"/>
      <c r="G75" s="7"/>
      <c r="H75" s="7"/>
    </row>
    <row r="76" spans="1:8" x14ac:dyDescent="0.2">
      <c r="A76" s="7"/>
      <c r="B76" s="7"/>
      <c r="C76" s="7"/>
      <c r="D76" s="7"/>
      <c r="E76" s="7"/>
      <c r="F76" s="7"/>
      <c r="G76" s="7"/>
      <c r="H76" s="7"/>
    </row>
  </sheetData>
  <phoneticPr fontId="2" type="noConversion"/>
  <pageMargins left="0.75" right="0.75" top="1" bottom="1" header="0.5" footer="0.5"/>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Manager>Ten IG</Manager>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№_9: Исследование метода золотого сечения  при решении задачи №1.</dc:title>
  <dc:subject>Методы оптимизации</dc:subject>
  <dc:creator>ten_IG</dc:creator>
  <dc:description>15.08.2007 The file has been updated for POVT-05.</dc:description>
  <cp:lastModifiedBy>Акмарал</cp:lastModifiedBy>
  <cp:lastPrinted>2002-04-05T12:55:38Z</cp:lastPrinted>
  <dcterms:created xsi:type="dcterms:W3CDTF">2002-01-25T11:06:38Z</dcterms:created>
  <dcterms:modified xsi:type="dcterms:W3CDTF">2023-12-17T01:04:37Z</dcterms:modified>
  <cp:category>POVT-5-01</cp:category>
</cp:coreProperties>
</file>